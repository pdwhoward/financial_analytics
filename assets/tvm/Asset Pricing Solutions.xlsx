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dwho\Dropbox\Courses\Teaching\Financial Analytics\Course\1 - Time Value of Money\Case\"/>
    </mc:Choice>
  </mc:AlternateContent>
  <xr:revisionPtr revIDLastSave="0" documentId="13_ncr:1_{92A071C8-9494-43ED-ACC0-C8432683A702}" xr6:coauthVersionLast="47" xr6:coauthVersionMax="47" xr10:uidLastSave="{00000000-0000-0000-0000-000000000000}"/>
  <bookViews>
    <workbookView xWindow="-98" yWindow="-98" windowWidth="17115" windowHeight="10876" activeTab="1" xr2:uid="{00000000-000D-0000-FFFF-FFFF00000000}"/>
  </bookViews>
  <sheets>
    <sheet name="T-bill" sheetId="1" r:id="rId1"/>
    <sheet name="CD" sheetId="7" r:id="rId2"/>
    <sheet name="Money Market" sheetId="8" r:id="rId3"/>
    <sheet name="Bond" sheetId="9" r:id="rId4"/>
    <sheet name="Mortgage" sheetId="10" r:id="rId5"/>
    <sheet name="Stock" sheetId="11" r:id="rId6"/>
  </sheets>
  <definedNames>
    <definedName name="APR" localSheetId="1">CD!$B$1</definedName>
    <definedName name="IRR" localSheetId="1">CD!$B$3</definedName>
    <definedName name="n" localSheetId="1">CD!$B$2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9" l="1"/>
  <c r="B5" i="9"/>
  <c r="B4" i="9"/>
  <c r="C5" i="11"/>
  <c r="B1" i="11"/>
  <c r="B2" i="11"/>
  <c r="A1" i="10"/>
  <c r="B3" i="8"/>
  <c r="B4" i="8" s="1"/>
  <c r="B5" i="8" s="1"/>
  <c r="B3" i="7"/>
  <c r="B4" i="7" s="1"/>
  <c r="B3" i="1"/>
  <c r="B4" i="1" s="1"/>
  <c r="C2" i="11"/>
  <c r="C3" i="8"/>
  <c r="C5" i="9"/>
  <c r="C3" i="1"/>
  <c r="C4" i="7"/>
  <c r="C1" i="11"/>
  <c r="C7" i="9"/>
  <c r="C5" i="8"/>
  <c r="D5" i="11"/>
  <c r="C3" i="7"/>
  <c r="C4" i="8"/>
  <c r="B1" i="10"/>
  <c r="C5" i="7"/>
  <c r="C4" i="1"/>
  <c r="B5" i="7" l="1"/>
</calcChain>
</file>

<file path=xl/sharedStrings.xml><?xml version="1.0" encoding="utf-8"?>
<sst xmlns="http://schemas.openxmlformats.org/spreadsheetml/2006/main" count="25" uniqueCount="17">
  <si>
    <t>Price</t>
  </si>
  <si>
    <t>Face</t>
  </si>
  <si>
    <t>IRR</t>
  </si>
  <si>
    <t>EAR</t>
  </si>
  <si>
    <t>APR</t>
  </si>
  <si>
    <t>n</t>
  </si>
  <si>
    <t>FV</t>
  </si>
  <si>
    <t>Semi</t>
  </si>
  <si>
    <t>Monthly</t>
  </si>
  <si>
    <t>t</t>
  </si>
  <si>
    <t>CF</t>
  </si>
  <si>
    <t>Coupon</t>
  </si>
  <si>
    <t>Apple</t>
  </si>
  <si>
    <t>Google</t>
  </si>
  <si>
    <t>Microsoft</t>
  </si>
  <si>
    <t>Yield</t>
  </si>
  <si>
    <t>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</si>
</sst>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9" fontId="0" fillId="0" borderId="0" xfId="0" applyNumberFormat="1"/>
    <xf numFmtId="0" fontId="0" fillId="0" borderId="0" xfId="0" applyAlignment="1">
      <alignment horizontal="center"/>
    </xf>
    <xf numFmtId="10" fontId="0" fillId="2" borderId="0" xfId="0" applyNumberFormat="1" applyFill="1"/>
    <xf numFmtId="10" fontId="0" fillId="2" borderId="0" xfId="2" applyNumberFormat="1" applyFont="1" applyFill="1"/>
    <xf numFmtId="44" fontId="0" fillId="2" borderId="0" xfId="1" applyFont="1" applyFill="1"/>
    <xf numFmtId="8" fontId="0" fillId="2" borderId="0" xfId="0" applyNumberFormat="1" applyFill="1"/>
    <xf numFmtId="10" fontId="0" fillId="0" borderId="0" xfId="2" applyNumberFormat="1" applyFont="1" applyFill="1"/>
    <xf numFmtId="165" fontId="0" fillId="0" borderId="0" xfId="2" applyNumberFormat="1" applyFont="1"/>
    <xf numFmtId="44" fontId="0" fillId="2" borderId="0" xfId="1" applyFont="1" applyFill="1" applyAlignment="1">
      <alignment horizontal="center"/>
    </xf>
    <xf numFmtId="44" fontId="0" fillId="0" borderId="0" xfId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25" x14ac:dyDescent="0.45"/>
  <cols>
    <col min="2" max="2" width="10.86328125" bestFit="1" customWidth="1"/>
  </cols>
  <sheetData>
    <row r="1" spans="1:3" x14ac:dyDescent="0.45">
      <c r="A1" t="s">
        <v>0</v>
      </c>
      <c r="B1" s="1">
        <v>9900</v>
      </c>
    </row>
    <row r="2" spans="1:3" x14ac:dyDescent="0.45">
      <c r="A2" t="s">
        <v>1</v>
      </c>
      <c r="B2" s="1">
        <v>10000</v>
      </c>
    </row>
    <row r="3" spans="1:3" x14ac:dyDescent="0.45">
      <c r="A3" t="s">
        <v>2</v>
      </c>
      <c r="B3" s="4">
        <f>RATE(1,,-B1,B2)</f>
        <v>1.0101010101010032E-2</v>
      </c>
      <c r="C3" t="str">
        <f ca="1">_xlfn.FORMULATEXT(B3)</f>
        <v>=RATE(1,,-B1,B2)</v>
      </c>
    </row>
    <row r="4" spans="1:3" x14ac:dyDescent="0.45">
      <c r="A4" t="s">
        <v>3</v>
      </c>
      <c r="B4" s="5">
        <f>(1+B3)^(52/4)-1</f>
        <v>0.13957383788077582</v>
      </c>
      <c r="C4" t="str">
        <f ca="1">_xlfn.FORMULATEXT(B4)</f>
        <v>=(1+B3)^(52/4)-1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D5F2-8F85-42F0-BC0D-B50E20A86A92}">
  <dimension ref="A1:C5"/>
  <sheetViews>
    <sheetView tabSelected="1" workbookViewId="0">
      <selection activeCell="B4" sqref="B4"/>
    </sheetView>
  </sheetViews>
  <sheetFormatPr defaultRowHeight="14.25" x14ac:dyDescent="0.45"/>
  <cols>
    <col min="2" max="2" width="9.86328125" bestFit="1" customWidth="1"/>
    <col min="3" max="3" width="17.46484375" bestFit="1" customWidth="1"/>
  </cols>
  <sheetData>
    <row r="1" spans="1:3" x14ac:dyDescent="0.45">
      <c r="A1" t="s">
        <v>4</v>
      </c>
      <c r="B1" s="2">
        <v>0.04</v>
      </c>
    </row>
    <row r="2" spans="1:3" x14ac:dyDescent="0.45">
      <c r="A2" t="s">
        <v>5</v>
      </c>
      <c r="B2">
        <v>12</v>
      </c>
    </row>
    <row r="3" spans="1:3" x14ac:dyDescent="0.45">
      <c r="A3" t="s">
        <v>2</v>
      </c>
      <c r="B3" s="5">
        <f>APR/n</f>
        <v>3.3333333333333335E-3</v>
      </c>
      <c r="C3" t="str">
        <f ca="1">_xlfn.FORMULATEXT(B3)</f>
        <v>=APR/n</v>
      </c>
    </row>
    <row r="4" spans="1:3" x14ac:dyDescent="0.45">
      <c r="A4" t="s">
        <v>3</v>
      </c>
      <c r="B4" s="5">
        <f>(1+IRR)^12-1</f>
        <v>4.0741542919790819E-2</v>
      </c>
      <c r="C4" t="str">
        <f ca="1">_xlfn.FORMULATEXT(B4)</f>
        <v>=(1+IRR)^12-1</v>
      </c>
    </row>
    <row r="5" spans="1:3" x14ac:dyDescent="0.45">
      <c r="A5" t="s">
        <v>6</v>
      </c>
      <c r="B5" s="6">
        <f>FV(IRR,12*5,,-1000)</f>
        <v>1220.9965939421227</v>
      </c>
      <c r="C5" t="str">
        <f ca="1">_xlfn.FORMULATEXT(B5)</f>
        <v>=FV(IRR,12*5,,-1000)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C88C-B905-4AED-90FF-05755E5C7F7A}">
  <dimension ref="A1:C5"/>
  <sheetViews>
    <sheetView workbookViewId="0">
      <selection activeCell="B5" sqref="B5"/>
    </sheetView>
  </sheetViews>
  <sheetFormatPr defaultRowHeight="14.25" x14ac:dyDescent="0.45"/>
  <cols>
    <col min="2" max="2" width="9.86328125" bestFit="1" customWidth="1"/>
  </cols>
  <sheetData>
    <row r="1" spans="1:3" x14ac:dyDescent="0.45">
      <c r="A1" t="s">
        <v>4</v>
      </c>
      <c r="B1" s="2">
        <v>0.03</v>
      </c>
    </row>
    <row r="2" spans="1:3" x14ac:dyDescent="0.45">
      <c r="A2" t="s">
        <v>5</v>
      </c>
      <c r="B2">
        <v>2</v>
      </c>
    </row>
    <row r="3" spans="1:3" x14ac:dyDescent="0.45">
      <c r="A3" t="s">
        <v>7</v>
      </c>
      <c r="B3" s="8">
        <f>B1/B2</f>
        <v>1.4999999999999999E-2</v>
      </c>
      <c r="C3" t="str">
        <f ca="1">_xlfn.FORMULATEXT(B3)</f>
        <v>=B1/B2</v>
      </c>
    </row>
    <row r="4" spans="1:3" x14ac:dyDescent="0.45">
      <c r="A4" t="s">
        <v>8</v>
      </c>
      <c r="B4" s="9">
        <f>(1+B3)^(1/6)-1</f>
        <v>2.4845167246487776E-3</v>
      </c>
      <c r="C4" t="str">
        <f ca="1">_xlfn.FORMULATEXT(B4)</f>
        <v>=(1+B3)^(1/6)-1</v>
      </c>
    </row>
    <row r="5" spans="1:3" x14ac:dyDescent="0.45">
      <c r="A5" t="s">
        <v>6</v>
      </c>
      <c r="B5" s="7">
        <f>-FV(B4,12,100)</f>
        <v>1216.534374679004</v>
      </c>
      <c r="C5" t="str">
        <f ca="1">_xlfn.FORMULATEXT(B5)</f>
        <v>=-FV(B4,12,100)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885D-2BB5-4219-A637-D0290C35BA52}">
  <dimension ref="A1:C7"/>
  <sheetViews>
    <sheetView workbookViewId="0"/>
  </sheetViews>
  <sheetFormatPr defaultRowHeight="14.25" x14ac:dyDescent="0.45"/>
  <cols>
    <col min="2" max="2" width="13.796875" bestFit="1" customWidth="1"/>
  </cols>
  <sheetData>
    <row r="1" spans="1:3" x14ac:dyDescent="0.45">
      <c r="A1" t="s">
        <v>1</v>
      </c>
      <c r="B1" s="1">
        <v>10000</v>
      </c>
    </row>
    <row r="2" spans="1:3" x14ac:dyDescent="0.45">
      <c r="A2" t="s">
        <v>11</v>
      </c>
      <c r="B2" s="1">
        <v>200</v>
      </c>
    </row>
    <row r="3" spans="1:3" x14ac:dyDescent="0.45">
      <c r="A3" t="s">
        <v>15</v>
      </c>
      <c r="B3" s="2">
        <v>0.03</v>
      </c>
    </row>
    <row r="4" spans="1:3" x14ac:dyDescent="0.45">
      <c r="A4" t="s">
        <v>16</v>
      </c>
      <c r="B4">
        <f>10*2</f>
        <v>20</v>
      </c>
    </row>
    <row r="5" spans="1:3" x14ac:dyDescent="0.45">
      <c r="A5" t="s">
        <v>0</v>
      </c>
      <c r="B5" s="7">
        <f>-PV(B3,B4,B2,B1)</f>
        <v>8512.2525139544505</v>
      </c>
      <c r="C5" t="str">
        <f ca="1">_xlfn.FORMULATEXT(B5)</f>
        <v>=-PV(B3,B4,B2,B1)</v>
      </c>
    </row>
    <row r="7" spans="1:3" x14ac:dyDescent="0.45">
      <c r="A7" t="s">
        <v>0</v>
      </c>
      <c r="B7" s="7">
        <f>-PV(4%,8*2,B2,B1)</f>
        <v>7669.5408784292058</v>
      </c>
      <c r="C7" t="str">
        <f ca="1">_xlfn.FORMULATEXT(B7)</f>
        <v>=-PV(4%,8*2,B2,B1)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7556-059C-43E5-85AC-E26B2257A7C9}">
  <dimension ref="A1:B1"/>
  <sheetViews>
    <sheetView workbookViewId="0"/>
  </sheetViews>
  <sheetFormatPr defaultRowHeight="14.25" x14ac:dyDescent="0.45"/>
  <cols>
    <col min="1" max="1" width="9.86328125" bestFit="1" customWidth="1"/>
  </cols>
  <sheetData>
    <row r="1" spans="1:2" x14ac:dyDescent="0.45">
      <c r="A1" s="7">
        <f>PMT(8%/12,30*12,450000)</f>
        <v>-3301.9405824571927</v>
      </c>
      <c r="B1" t="str">
        <f ca="1">_xlfn.FORMULATEXT(A1)</f>
        <v>=PMT(8%/12,30*12,450000)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7461-114B-490C-A51D-15A614828EDB}">
  <dimension ref="A1:D10"/>
  <sheetViews>
    <sheetView workbookViewId="0">
      <selection activeCell="C5" sqref="C5"/>
    </sheetView>
  </sheetViews>
  <sheetFormatPr defaultRowHeight="14.25" x14ac:dyDescent="0.45"/>
  <sheetData>
    <row r="1" spans="1:4" x14ac:dyDescent="0.45">
      <c r="A1" t="s">
        <v>12</v>
      </c>
      <c r="B1" s="6">
        <f>10/5%</f>
        <v>200</v>
      </c>
      <c r="C1" t="str">
        <f ca="1">_xlfn.FORMULATEXT(B1)</f>
        <v>=10/5%</v>
      </c>
    </row>
    <row r="2" spans="1:4" x14ac:dyDescent="0.45">
      <c r="A2" t="s">
        <v>13</v>
      </c>
      <c r="B2" s="6">
        <f>10/(5%-2%)</f>
        <v>333.33333333333331</v>
      </c>
      <c r="C2" t="str">
        <f ca="1">_xlfn.FORMULATEXT(B2)</f>
        <v>=10/(5%-2%)</v>
      </c>
    </row>
    <row r="4" spans="1:4" x14ac:dyDescent="0.45">
      <c r="A4" t="s">
        <v>14</v>
      </c>
      <c r="B4" s="3" t="s">
        <v>9</v>
      </c>
      <c r="C4" s="3" t="s">
        <v>10</v>
      </c>
    </row>
    <row r="5" spans="1:4" x14ac:dyDescent="0.45">
      <c r="B5" s="3">
        <v>0</v>
      </c>
      <c r="C5" s="10">
        <f>NPV(6%,C6:C10)</f>
        <v>266.30108971547423</v>
      </c>
      <c r="D5" t="str">
        <f ca="1">_xlfn.FORMULATEXT(C5)</f>
        <v>=NPV(6%,C6:C10)</v>
      </c>
    </row>
    <row r="6" spans="1:4" x14ac:dyDescent="0.45">
      <c r="B6" s="3">
        <v>1</v>
      </c>
      <c r="C6" s="11">
        <v>10</v>
      </c>
    </row>
    <row r="7" spans="1:4" x14ac:dyDescent="0.45">
      <c r="B7" s="3">
        <v>2</v>
      </c>
      <c r="C7" s="11">
        <v>10</v>
      </c>
    </row>
    <row r="8" spans="1:4" x14ac:dyDescent="0.45">
      <c r="B8" s="3">
        <v>3</v>
      </c>
      <c r="C8" s="11">
        <v>10</v>
      </c>
    </row>
    <row r="9" spans="1:4" x14ac:dyDescent="0.45">
      <c r="B9" s="3">
        <v>4</v>
      </c>
      <c r="C9" s="11">
        <v>10</v>
      </c>
    </row>
    <row r="10" spans="1:4" x14ac:dyDescent="0.45">
      <c r="B10" s="3">
        <v>5</v>
      </c>
      <c r="C10" s="11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T-bill</vt:lpstr>
      <vt:lpstr>CD</vt:lpstr>
      <vt:lpstr>Money Market</vt:lpstr>
      <vt:lpstr>Bond</vt:lpstr>
      <vt:lpstr>Mortgage</vt:lpstr>
      <vt:lpstr>Stock</vt:lpstr>
      <vt:lpstr>CD!APR</vt:lpstr>
      <vt:lpstr>CD!IRR</vt:lpstr>
      <vt:lpstr>CD!n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2015-06-05T18:17:20Z</dcterms:created>
  <dcterms:modified xsi:type="dcterms:W3CDTF">2024-01-20T02:25:41Z</dcterms:modified>
</cp:coreProperties>
</file>