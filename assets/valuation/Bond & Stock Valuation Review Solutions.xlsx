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\Courses\Teaching\Financial Analytics\Course\2 - Bond &amp; Stock Valuation\4 - Exercises\1 - Review\"/>
    </mc:Choice>
  </mc:AlternateContent>
  <xr:revisionPtr revIDLastSave="0" documentId="13_ncr:1_{36BBA7C8-F1FB-4B8C-BF1E-D8C02DE6B584}" xr6:coauthVersionLast="47" xr6:coauthVersionMax="47" xr10:uidLastSave="{00000000-0000-0000-0000-000000000000}"/>
  <bookViews>
    <workbookView xWindow="-98" yWindow="-98" windowWidth="17115" windowHeight="10876" activeTab="1" xr2:uid="{6EE16BD3-821C-4EF1-8275-74C7E8006C6F}"/>
  </bookViews>
  <sheets>
    <sheet name="Problem 1" sheetId="1" r:id="rId1"/>
    <sheet name="Problem 2" sheetId="2" r:id="rId2"/>
    <sheet name="Problems 3 &amp; 4" sheetId="3" r:id="rId3"/>
    <sheet name="Problem 5" sheetId="5" r:id="rId4"/>
    <sheet name="Problem 6" sheetId="6" r:id="rId5"/>
    <sheet name="Problem 7" sheetId="12" r:id="rId6"/>
    <sheet name="Problem 8" sheetId="11" r:id="rId7"/>
    <sheet name="Problem 9" sheetId="8" r:id="rId8"/>
    <sheet name="Problem 10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1" l="1"/>
  <c r="A3" i="12"/>
  <c r="A3" i="9"/>
  <c r="B4" i="8"/>
  <c r="D7" i="11"/>
  <c r="H7" i="11" s="1"/>
  <c r="H4" i="11" s="1"/>
  <c r="A3" i="6"/>
  <c r="A3" i="5"/>
  <c r="B4" i="3"/>
  <c r="B3" i="3"/>
  <c r="A3" i="2"/>
  <c r="A3" i="1"/>
  <c r="I4" i="11"/>
  <c r="C4" i="3"/>
  <c r="C3" i="3"/>
  <c r="C8" i="11"/>
  <c r="B3" i="9"/>
  <c r="B3" i="5"/>
  <c r="B3" i="6"/>
  <c r="B3" i="2"/>
  <c r="E7" i="11"/>
  <c r="B3" i="12"/>
  <c r="I7" i="11"/>
  <c r="B3" i="1"/>
  <c r="C4" i="8"/>
</calcChain>
</file>

<file path=xl/sharedStrings.xml><?xml version="1.0" encoding="utf-8"?>
<sst xmlns="http://schemas.openxmlformats.org/spreadsheetml/2006/main" count="18" uniqueCount="15">
  <si>
    <t>t</t>
  </si>
  <si>
    <t>CF</t>
  </si>
  <si>
    <t>A 10-year bond has 5% coupon rate and makes annual coupon payments. The bond has a face value of $1,000 and a yield to maturity of 6%. What is the price of the bond?</t>
  </si>
  <si>
    <t>A 10-year bond has 4% coupon rate and makes semi-annual coupon payments. The bond has a face value of $1,000 and sells for $1050. What is the YTM of the bond?</t>
  </si>
  <si>
    <t>IRR</t>
  </si>
  <si>
    <t>YTM</t>
  </si>
  <si>
    <t>Starting next year, Apple is expected to an annual $10 dividend in perpetuity. Apple's cost of equity is 5%. What is Apple's stock price today?</t>
  </si>
  <si>
    <t>Starting next year, Google will a $30 dividend. The dividends are expected to grow annually at 3% in perpetuity. Google's cost of equity is 7%. What is Google's stock price today?</t>
  </si>
  <si>
    <t>Open AI is expected to pay dividends of $10, $20 and $50 in years 1, 2 and 3. After year 3, Open AI's dividends are expected to grow at 5% per year. Their cost of equity is 12%. What is the stock price of Open AI?</t>
  </si>
  <si>
    <t>D</t>
  </si>
  <si>
    <t>P_3</t>
  </si>
  <si>
    <t>Microsoft is expected to pay dividends of $30, $0 and $50 in years 1, 2 and 3. In year 4, you estimate that you can sell your Microsoft stock for $100. Microsoft's cost of equity is 3%. What is the stock price today?</t>
  </si>
  <si>
    <t>Starting next year, Tesla will pay a $5 dividend. The dividends are expected to grow annually at 4% in perpetuity. Tesla's stock price is $200. What is Tesla's cost of equity ?</t>
  </si>
  <si>
    <t>Starting today, Google will pay a $30 dividend. The dividends are expected to grow annually at 3% in perpetuity. Google's cost of equity is 7%. What is Google's cum-dividend stock price today?</t>
  </si>
  <si>
    <t>A 10-year bond has 5% coupon rate and makes semi-annual coupon payments. The bond has a face value of $1,000 and a yield to maturity of 6%. What is the price of the bond?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</si>
</sst>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9" fontId="0" fillId="0" borderId="0" xfId="0" applyNumberFormat="1"/>
    <xf numFmtId="10" fontId="0" fillId="0" borderId="0" xfId="0" applyNumberFormat="1"/>
    <xf numFmtId="8" fontId="0" fillId="2" borderId="0" xfId="0" applyNumberFormat="1" applyFill="1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0" fontId="0" fillId="2" borderId="0" xfId="0" applyNumberFormat="1" applyFill="1"/>
    <xf numFmtId="10" fontId="0" fillId="2" borderId="0" xfId="2" applyNumberFormat="1" applyFont="1" applyFill="1"/>
    <xf numFmtId="10" fontId="0" fillId="0" borderId="1" xfId="0" applyNumberFormat="1" applyBorder="1" applyAlignment="1">
      <alignment horizontal="center"/>
    </xf>
    <xf numFmtId="44" fontId="0" fillId="0" borderId="1" xfId="1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0" applyNumberFormat="1"/>
    <xf numFmtId="0" fontId="0" fillId="0" borderId="1" xfId="0" applyBorder="1" applyAlignment="1">
      <alignment horizontal="center"/>
    </xf>
    <xf numFmtId="8" fontId="0" fillId="2" borderId="0" xfId="1" applyNumberFormat="1" applyFont="1" applyFill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44" fontId="0" fillId="2" borderId="0" xfId="1" applyFont="1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93BEA-A648-42CE-BD68-3F1147AAC43B}">
  <dimension ref="A1:E14"/>
  <sheetViews>
    <sheetView workbookViewId="0">
      <selection activeCell="A3" sqref="A3"/>
    </sheetView>
  </sheetViews>
  <sheetFormatPr defaultRowHeight="14.25" x14ac:dyDescent="0.45"/>
  <sheetData>
    <row r="1" spans="1:5" x14ac:dyDescent="0.45">
      <c r="A1" t="s">
        <v>2</v>
      </c>
    </row>
    <row r="2" spans="1:5" x14ac:dyDescent="0.45">
      <c r="E2" s="2"/>
    </row>
    <row r="3" spans="1:5" x14ac:dyDescent="0.45">
      <c r="A3" s="3">
        <f>PV(6%,10,5%*1000,1000)</f>
        <v>-926.39912948585288</v>
      </c>
      <c r="B3" t="str">
        <f ca="1">_xlfn.FORMULATEXT(A3)</f>
        <v>=PV(6%,10,5%*1000,1000)</v>
      </c>
      <c r="E3" s="2"/>
    </row>
    <row r="4" spans="1:5" x14ac:dyDescent="0.45">
      <c r="E4" s="2"/>
    </row>
    <row r="5" spans="1:5" x14ac:dyDescent="0.45">
      <c r="B5" s="1"/>
      <c r="E5" s="2"/>
    </row>
    <row r="6" spans="1:5" x14ac:dyDescent="0.45">
      <c r="E6" s="2"/>
    </row>
    <row r="14" spans="1:5" x14ac:dyDescent="0.45">
      <c r="B1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B8F80-0B7D-4461-BE7F-137E9E4ED3D9}">
  <dimension ref="A1:B3"/>
  <sheetViews>
    <sheetView tabSelected="1" workbookViewId="0"/>
  </sheetViews>
  <sheetFormatPr defaultRowHeight="14.25" x14ac:dyDescent="0.45"/>
  <sheetData>
    <row r="1" spans="1:2" x14ac:dyDescent="0.45">
      <c r="A1" t="s">
        <v>14</v>
      </c>
    </row>
    <row r="3" spans="1:2" x14ac:dyDescent="0.45">
      <c r="A3" s="3">
        <f>PV(6%/2,10*2,5%/2*1000,1000)</f>
        <v>-925.61262569772248</v>
      </c>
      <c r="B3" t="str">
        <f ca="1">_xlfn.FORMULATEXT(A3)</f>
        <v>=PV(6%/2,10*2,5%/2*1000,1000)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95724-D3AA-43CC-9CCC-8EB9AD62A90D}">
  <dimension ref="A1:C4"/>
  <sheetViews>
    <sheetView workbookViewId="0"/>
  </sheetViews>
  <sheetFormatPr defaultRowHeight="14.25" x14ac:dyDescent="0.45"/>
  <sheetData>
    <row r="1" spans="1:3" x14ac:dyDescent="0.45">
      <c r="A1" t="s">
        <v>3</v>
      </c>
    </row>
    <row r="3" spans="1:3" x14ac:dyDescent="0.45">
      <c r="A3" t="s">
        <v>4</v>
      </c>
      <c r="B3" s="6">
        <f>RATE(10*2,4%/2*1000,-1050,1000)</f>
        <v>1.7029128237462127E-2</v>
      </c>
      <c r="C3" t="str">
        <f ca="1">_xlfn.FORMULATEXT(B3)</f>
        <v>=RATE(10*2,4%/2*1000,-1050,1000)</v>
      </c>
    </row>
    <row r="4" spans="1:3" x14ac:dyDescent="0.45">
      <c r="A4" t="s">
        <v>5</v>
      </c>
      <c r="B4" s="7">
        <f>B3*2</f>
        <v>3.4058256474924255E-2</v>
      </c>
      <c r="C4" t="str">
        <f ca="1">_xlfn.FORMULATEXT(B4)</f>
        <v>=B3*2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9301F-0124-4FD4-8394-666EC2CB97E8}">
  <dimension ref="A1:B3"/>
  <sheetViews>
    <sheetView workbookViewId="0">
      <selection activeCell="A4" sqref="A4"/>
    </sheetView>
  </sheetViews>
  <sheetFormatPr defaultRowHeight="14.25" x14ac:dyDescent="0.45"/>
  <sheetData>
    <row r="1" spans="1:2" x14ac:dyDescent="0.45">
      <c r="A1" t="s">
        <v>6</v>
      </c>
    </row>
    <row r="3" spans="1:2" x14ac:dyDescent="0.45">
      <c r="A3" s="3">
        <f>10/5%</f>
        <v>200</v>
      </c>
      <c r="B3" t="str">
        <f ca="1">_xlfn.FORMULATEXT(A3)</f>
        <v>=10/5%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4C9F6-12CB-4DAB-AADE-CE878FA43E0F}">
  <dimension ref="A1:B3"/>
  <sheetViews>
    <sheetView workbookViewId="0">
      <selection activeCell="A3" sqref="A3"/>
    </sheetView>
  </sheetViews>
  <sheetFormatPr defaultRowHeight="14.25" x14ac:dyDescent="0.45"/>
  <cols>
    <col min="1" max="1" width="10.1328125" bestFit="1" customWidth="1"/>
  </cols>
  <sheetData>
    <row r="1" spans="1:2" x14ac:dyDescent="0.45">
      <c r="A1" t="s">
        <v>7</v>
      </c>
    </row>
    <row r="3" spans="1:2" x14ac:dyDescent="0.45">
      <c r="A3" s="3">
        <f>30/(7%-3%)</f>
        <v>749.99999999999989</v>
      </c>
      <c r="B3" t="str">
        <f ca="1">_xlfn.FORMULATEXT(A3)</f>
        <v>=30/(7%-3%)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9332B-E18F-48E3-BB8F-1595531B0E35}">
  <dimension ref="A1:B3"/>
  <sheetViews>
    <sheetView workbookViewId="0">
      <selection activeCell="A3" sqref="A3"/>
    </sheetView>
  </sheetViews>
  <sheetFormatPr defaultRowHeight="14.25" x14ac:dyDescent="0.45"/>
  <cols>
    <col min="1" max="1" width="10.1328125" bestFit="1" customWidth="1"/>
  </cols>
  <sheetData>
    <row r="1" spans="1:2" x14ac:dyDescent="0.45">
      <c r="A1" t="s">
        <v>13</v>
      </c>
    </row>
    <row r="3" spans="1:2" x14ac:dyDescent="0.45">
      <c r="A3" s="3">
        <f>30+30*(1+3%)/(7%-3%)</f>
        <v>802.49999999999989</v>
      </c>
      <c r="B3" t="str">
        <f ca="1">_xlfn.FORMULATEXT(A3)</f>
        <v>=30+30*(1+3%)/(7%-3%)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9BF29-76CD-4F36-BEC0-FCB7782774B4}">
  <dimension ref="A1:I8"/>
  <sheetViews>
    <sheetView workbookViewId="0">
      <selection activeCell="B8" sqref="B8"/>
    </sheetView>
  </sheetViews>
  <sheetFormatPr defaultRowHeight="14.25" x14ac:dyDescent="0.45"/>
  <sheetData>
    <row r="1" spans="1:9" x14ac:dyDescent="0.45">
      <c r="A1" t="s">
        <v>8</v>
      </c>
    </row>
    <row r="3" spans="1:9" ht="14.65" thickBot="1" x14ac:dyDescent="0.5">
      <c r="A3" s="8" t="s">
        <v>0</v>
      </c>
      <c r="B3" s="9" t="s">
        <v>9</v>
      </c>
      <c r="G3" s="12" t="s">
        <v>0</v>
      </c>
      <c r="H3" s="12" t="s">
        <v>1</v>
      </c>
    </row>
    <row r="4" spans="1:9" x14ac:dyDescent="0.45">
      <c r="A4" s="4">
        <v>0</v>
      </c>
      <c r="B4" s="10"/>
      <c r="G4" s="4">
        <v>0</v>
      </c>
      <c r="H4" s="13">
        <f>NPV(12%,H5:H7)</f>
        <v>594.29664723032067</v>
      </c>
      <c r="I4" t="str">
        <f ca="1">_xlfn.FORMULATEXT(H4)</f>
        <v>=NPV(12%,H5:H7)</v>
      </c>
    </row>
    <row r="5" spans="1:9" x14ac:dyDescent="0.45">
      <c r="A5" s="4">
        <v>1</v>
      </c>
      <c r="B5" s="5">
        <v>10</v>
      </c>
      <c r="G5" s="4">
        <v>1</v>
      </c>
      <c r="H5" s="5">
        <v>10</v>
      </c>
    </row>
    <row r="6" spans="1:9" x14ac:dyDescent="0.45">
      <c r="A6" s="4">
        <v>2</v>
      </c>
      <c r="B6" s="5">
        <v>20</v>
      </c>
      <c r="D6" t="s">
        <v>10</v>
      </c>
      <c r="G6" s="4">
        <v>2</v>
      </c>
      <c r="H6" s="5">
        <v>20</v>
      </c>
    </row>
    <row r="7" spans="1:9" x14ac:dyDescent="0.45">
      <c r="A7" s="4">
        <v>3</v>
      </c>
      <c r="B7" s="5">
        <v>50</v>
      </c>
      <c r="D7" s="11">
        <f>B8/(12%-5%)</f>
        <v>750.00000000000011</v>
      </c>
      <c r="E7" t="str">
        <f ca="1">_xlfn.FORMULATEXT(D7)</f>
        <v>=B8/(12%-5%)</v>
      </c>
      <c r="G7" s="4">
        <v>3</v>
      </c>
      <c r="H7" s="5">
        <f>B7+D7</f>
        <v>800.00000000000011</v>
      </c>
      <c r="I7" t="str">
        <f ca="1">_xlfn.FORMULATEXT(H7)</f>
        <v>=B7+D7</v>
      </c>
    </row>
    <row r="8" spans="1:9" x14ac:dyDescent="0.45">
      <c r="A8" s="4">
        <v>4</v>
      </c>
      <c r="B8" s="10">
        <f>B7*(1+5%)</f>
        <v>52.5</v>
      </c>
      <c r="C8" t="str">
        <f ca="1">_xlfn.FORMULATEXT(B8)</f>
        <v>=B7*(1+5%)</v>
      </c>
      <c r="H8" s="4"/>
      <c r="I8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0EF04-E3E6-4BA7-81EF-A23D3F0755F2}">
  <dimension ref="A1:C8"/>
  <sheetViews>
    <sheetView workbookViewId="0">
      <selection activeCell="B4" sqref="B4"/>
    </sheetView>
  </sheetViews>
  <sheetFormatPr defaultRowHeight="14.25" x14ac:dyDescent="0.45"/>
  <sheetData>
    <row r="1" spans="1:3" x14ac:dyDescent="0.45">
      <c r="A1" t="s">
        <v>11</v>
      </c>
    </row>
    <row r="3" spans="1:3" ht="14.65" thickBot="1" x14ac:dyDescent="0.5">
      <c r="A3" s="12" t="s">
        <v>0</v>
      </c>
      <c r="B3" s="14" t="s">
        <v>1</v>
      </c>
    </row>
    <row r="4" spans="1:3" x14ac:dyDescent="0.45">
      <c r="A4" s="4">
        <v>0</v>
      </c>
      <c r="B4" s="15">
        <f>NPV(3%,B5:B8)</f>
        <v>163.7320013514599</v>
      </c>
      <c r="C4" t="str">
        <f ca="1">_xlfn.FORMULATEXT(B4)</f>
        <v>=NPV(3%,B5:B8)</v>
      </c>
    </row>
    <row r="5" spans="1:3" x14ac:dyDescent="0.45">
      <c r="A5" s="4">
        <v>1</v>
      </c>
      <c r="B5" s="5">
        <v>30</v>
      </c>
    </row>
    <row r="6" spans="1:3" x14ac:dyDescent="0.45">
      <c r="A6" s="4">
        <v>2</v>
      </c>
      <c r="B6" s="5">
        <v>0</v>
      </c>
    </row>
    <row r="7" spans="1:3" x14ac:dyDescent="0.45">
      <c r="A7" s="4">
        <v>3</v>
      </c>
      <c r="B7" s="5">
        <v>50</v>
      </c>
    </row>
    <row r="8" spans="1:3" x14ac:dyDescent="0.45">
      <c r="A8" s="4">
        <v>4</v>
      </c>
      <c r="B8" s="5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5D978-97BB-4E54-92AA-33D39B805EE9}">
  <dimension ref="A1:B3"/>
  <sheetViews>
    <sheetView workbookViewId="0">
      <selection activeCell="A3" sqref="A3"/>
    </sheetView>
  </sheetViews>
  <sheetFormatPr defaultRowHeight="14.25" x14ac:dyDescent="0.45"/>
  <cols>
    <col min="1" max="1" width="10.1328125" bestFit="1" customWidth="1"/>
  </cols>
  <sheetData>
    <row r="1" spans="1:2" x14ac:dyDescent="0.45">
      <c r="A1" t="s">
        <v>12</v>
      </c>
    </row>
    <row r="3" spans="1:2" x14ac:dyDescent="0.45">
      <c r="A3" s="7">
        <f>4%+5/200</f>
        <v>6.5000000000000002E-2</v>
      </c>
      <c r="B3" t="str">
        <f ca="1">_xlfn.FORMULATEXT(A3)</f>
        <v>=4%+5/200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Problem 1</vt:lpstr>
      <vt:lpstr>Problem 2</vt:lpstr>
      <vt:lpstr>Problems 3 &amp; 4</vt:lpstr>
      <vt:lpstr>Problem 5</vt:lpstr>
      <vt:lpstr>Problem 6</vt:lpstr>
      <vt:lpstr>Problem 7</vt:lpstr>
      <vt:lpstr>Problem 8</vt:lpstr>
      <vt:lpstr>Problem 9</vt:lpstr>
      <vt:lpstr>Problem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2023-05-08T13:05:28Z</dcterms:created>
  <dcterms:modified xsi:type="dcterms:W3CDTF">2024-02-06T13:27:34Z</dcterms:modified>
</cp:coreProperties>
</file>