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pdwho\Dropbox\Courses\Teaching\Financial Analytics\Course\2 - Bond &amp; Stock Valuation\Case\"/>
    </mc:Choice>
  </mc:AlternateContent>
  <xr:revisionPtr revIDLastSave="0" documentId="13_ncr:1_{E1D973A6-3EAB-466D-BBF9-77EEBE6C682D}" xr6:coauthVersionLast="47" xr6:coauthVersionMax="47" xr10:uidLastSave="{00000000-0000-0000-0000-000000000000}"/>
  <bookViews>
    <workbookView xWindow="-98" yWindow="-98" windowWidth="17115" windowHeight="10876" activeTab="2" xr2:uid="{00000000-000D-0000-FFFF-FFFF00000000}"/>
  </bookViews>
  <sheets>
    <sheet name="Bond - Maturity" sheetId="9" r:id="rId1"/>
    <sheet name="Bond - Coupon" sheetId="12" r:id="rId2"/>
    <sheet name="Stock" sheetId="11" r:id="rId3"/>
  </sheets>
  <definedNames>
    <definedName name="Face" localSheetId="1">'Bond - Coupon'!$B$1</definedName>
    <definedName name="Face" localSheetId="0">'Bond - Maturity'!$B$1</definedName>
    <definedName name="Maturity" localSheetId="1">'Bond - Coupon'!$B$2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/>
  <c r="C2" i="11"/>
  <c r="B2" i="11"/>
  <c r="B4" i="11" s="1"/>
  <c r="B3" i="11"/>
  <c r="C6" i="12"/>
  <c r="C5" i="12"/>
  <c r="B6" i="12"/>
  <c r="B5" i="12"/>
  <c r="B6" i="9"/>
  <c r="B5" i="9"/>
  <c r="C5" i="9"/>
  <c r="C6" i="9" s="1"/>
  <c r="C4" i="9"/>
  <c r="B4" i="9"/>
  <c r="D6" i="12"/>
  <c r="D4" i="9"/>
  <c r="D7" i="12"/>
  <c r="D5" i="12"/>
  <c r="D6" i="9"/>
  <c r="D3" i="11"/>
  <c r="D2" i="11"/>
  <c r="D5" i="9"/>
  <c r="D4" i="11"/>
  <c r="C4" i="11" l="1"/>
  <c r="C7" i="12"/>
  <c r="B7" i="12"/>
</calcChain>
</file>

<file path=xl/sharedStrings.xml><?xml version="1.0" encoding="utf-8"?>
<sst xmlns="http://schemas.openxmlformats.org/spreadsheetml/2006/main" count="18" uniqueCount="11">
  <si>
    <t>Face</t>
  </si>
  <si>
    <t>Maturity</t>
  </si>
  <si>
    <t>Bond A</t>
  </si>
  <si>
    <t>Bond B</t>
  </si>
  <si>
    <t>YTM=5%</t>
  </si>
  <si>
    <t>YTM=7%</t>
  </si>
  <si>
    <t>Change</t>
  </si>
  <si>
    <t>Growth</t>
  </si>
  <si>
    <t>Price @ 7%</t>
  </si>
  <si>
    <t>Value</t>
  </si>
  <si>
    <t>Price @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</si>
</sst>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2" borderId="0" xfId="0" applyNumberFormat="1" applyFill="1" applyAlignment="1">
      <alignment horizontal="center"/>
    </xf>
    <xf numFmtId="10" fontId="0" fillId="2" borderId="0" xfId="2" applyNumberFormat="1" applyFont="1" applyFill="1" applyAlignment="1">
      <alignment horizontal="center"/>
    </xf>
    <xf numFmtId="44" fontId="0" fillId="2" borderId="0" xfId="1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885D-2BB5-4219-A637-D0290C35BA52}">
  <dimension ref="A1:D6"/>
  <sheetViews>
    <sheetView workbookViewId="0">
      <selection activeCell="B6" sqref="B6:C6"/>
    </sheetView>
  </sheetViews>
  <sheetFormatPr defaultRowHeight="14.25" x14ac:dyDescent="0.45"/>
  <cols>
    <col min="1" max="3" width="8.59765625" customWidth="1"/>
    <col min="4" max="4" width="14.9296875" bestFit="1" customWidth="1"/>
  </cols>
  <sheetData>
    <row r="1" spans="1:4" x14ac:dyDescent="0.45">
      <c r="A1" t="s">
        <v>0</v>
      </c>
      <c r="B1" s="1">
        <v>1000</v>
      </c>
    </row>
    <row r="3" spans="1:4" x14ac:dyDescent="0.45">
      <c r="B3" s="2" t="s">
        <v>2</v>
      </c>
      <c r="C3" s="2" t="s">
        <v>3</v>
      </c>
    </row>
    <row r="4" spans="1:4" x14ac:dyDescent="0.45">
      <c r="A4" s="3" t="s">
        <v>4</v>
      </c>
      <c r="B4" s="4">
        <f>-PV(5%,1,,Face)</f>
        <v>952.38095238095229</v>
      </c>
      <c r="C4" s="4">
        <f>-PV(5%,10,,Face)</f>
        <v>613.91325354075934</v>
      </c>
      <c r="D4" t="str">
        <f ca="1">_xlfn.FORMULATEXT(C4)</f>
        <v>=-PV(5%,10,,Face)</v>
      </c>
    </row>
    <row r="5" spans="1:4" x14ac:dyDescent="0.45">
      <c r="A5" s="3" t="s">
        <v>5</v>
      </c>
      <c r="B5" s="4">
        <f>-PV(7%,1,,Face)</f>
        <v>934.57943925233644</v>
      </c>
      <c r="C5" s="4">
        <f>-PV(7%,10,,Face)</f>
        <v>508.34929213471781</v>
      </c>
      <c r="D5" t="str">
        <f ca="1">_xlfn.FORMULATEXT(C5)</f>
        <v>=-PV(7%,10,,Face)</v>
      </c>
    </row>
    <row r="6" spans="1:4" x14ac:dyDescent="0.45">
      <c r="A6" s="3" t="s">
        <v>6</v>
      </c>
      <c r="B6" s="5">
        <f>(B5-B4)/B4</f>
        <v>-1.8691588785046648E-2</v>
      </c>
      <c r="C6" s="5">
        <f>(C5-C4)/C4</f>
        <v>-0.17195256951564225</v>
      </c>
      <c r="D6" t="str">
        <f ca="1">_xlfn.FORMULATEXT(C6)</f>
        <v>=(C5-C4)/C4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A719-0880-4D2F-B563-8C894EBF4D2F}">
  <dimension ref="A1:D7"/>
  <sheetViews>
    <sheetView workbookViewId="0">
      <selection activeCell="C7" sqref="C7"/>
    </sheetView>
  </sheetViews>
  <sheetFormatPr defaultRowHeight="14.25" x14ac:dyDescent="0.45"/>
  <cols>
    <col min="1" max="2" width="8.59765625" customWidth="1"/>
    <col min="3" max="3" width="9.265625" bestFit="1" customWidth="1"/>
    <col min="4" max="4" width="14.9296875" bestFit="1" customWidth="1"/>
  </cols>
  <sheetData>
    <row r="1" spans="1:4" x14ac:dyDescent="0.45">
      <c r="A1" t="s">
        <v>0</v>
      </c>
      <c r="B1" s="1">
        <v>1000</v>
      </c>
    </row>
    <row r="2" spans="1:4" x14ac:dyDescent="0.45">
      <c r="A2" t="s">
        <v>1</v>
      </c>
      <c r="B2">
        <v>10</v>
      </c>
    </row>
    <row r="4" spans="1:4" x14ac:dyDescent="0.45">
      <c r="B4" s="2" t="s">
        <v>2</v>
      </c>
      <c r="C4" s="2" t="s">
        <v>3</v>
      </c>
    </row>
    <row r="5" spans="1:4" x14ac:dyDescent="0.45">
      <c r="A5" s="3" t="s">
        <v>4</v>
      </c>
      <c r="B5" s="4">
        <f>-PV(5%,Maturity,0,Face)</f>
        <v>613.91325354075934</v>
      </c>
      <c r="C5" s="4">
        <f>-PV(5%,Maturity,6%*Face,Face)</f>
        <v>1077.217349291848</v>
      </c>
      <c r="D5" t="str">
        <f ca="1">_xlfn.FORMULATEXT(C5)</f>
        <v>=-PV(5%,Maturity,6%*Face,Face)</v>
      </c>
    </row>
    <row r="6" spans="1:4" x14ac:dyDescent="0.45">
      <c r="A6" s="3" t="s">
        <v>5</v>
      </c>
      <c r="B6" s="4">
        <f>-PV(7%,Maturity,0,Face)</f>
        <v>508.34929213471781</v>
      </c>
      <c r="C6" s="4">
        <f>-PV(7%,Maturity,6%*Face,Face)</f>
        <v>929.76418459067395</v>
      </c>
      <c r="D6" t="str">
        <f ca="1">_xlfn.FORMULATEXT(C6)</f>
        <v>=-PV(7%,Maturity,6%*Face,Face)</v>
      </c>
    </row>
    <row r="7" spans="1:4" x14ac:dyDescent="0.45">
      <c r="A7" s="3" t="s">
        <v>6</v>
      </c>
      <c r="B7" s="5">
        <f>(B6-B5)/B5</f>
        <v>-0.17195256951564225</v>
      </c>
      <c r="C7" s="5">
        <f>(C6-C5)/C5</f>
        <v>-0.13688339200822219</v>
      </c>
      <c r="D7" t="str">
        <f ca="1">_xlfn.FORMULATEXT(C7)</f>
        <v>=(C6-C5)/C5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7461-114B-490C-A51D-15A614828EDB}">
  <dimension ref="A1:D4"/>
  <sheetViews>
    <sheetView tabSelected="1" workbookViewId="0"/>
  </sheetViews>
  <sheetFormatPr defaultRowHeight="14.25" x14ac:dyDescent="0.45"/>
  <cols>
    <col min="1" max="1" width="9.6640625" bestFit="1" customWidth="1"/>
    <col min="2" max="2" width="9.1328125" bestFit="1" customWidth="1"/>
    <col min="3" max="3" width="9.86328125" bestFit="1" customWidth="1"/>
  </cols>
  <sheetData>
    <row r="1" spans="1:4" x14ac:dyDescent="0.45">
      <c r="B1" s="2" t="s">
        <v>9</v>
      </c>
      <c r="C1" s="2" t="s">
        <v>7</v>
      </c>
    </row>
    <row r="2" spans="1:4" x14ac:dyDescent="0.45">
      <c r="A2" t="s">
        <v>10</v>
      </c>
      <c r="B2" s="6">
        <f>10/3%</f>
        <v>333.33333333333337</v>
      </c>
      <c r="C2" s="6">
        <f>10/(3%-2%)</f>
        <v>1000.0000000000001</v>
      </c>
      <c r="D2" t="str">
        <f ca="1">_xlfn.FORMULATEXT(C2)</f>
        <v>=10/(3%-2%)</v>
      </c>
    </row>
    <row r="3" spans="1:4" x14ac:dyDescent="0.45">
      <c r="A3" t="s">
        <v>8</v>
      </c>
      <c r="B3" s="6">
        <f>10/7%</f>
        <v>142.85714285714283</v>
      </c>
      <c r="C3" s="6">
        <f>10/(7%-2%)</f>
        <v>200</v>
      </c>
      <c r="D3" t="str">
        <f t="shared" ref="D3:D4" ca="1" si="0">_xlfn.FORMULATEXT(C3)</f>
        <v>=10/(7%-2%)</v>
      </c>
    </row>
    <row r="4" spans="1:4" x14ac:dyDescent="0.45">
      <c r="A4" t="s">
        <v>6</v>
      </c>
      <c r="B4" s="5">
        <f>(B3-B2)/B2</f>
        <v>-0.57142857142857151</v>
      </c>
      <c r="C4" s="5">
        <f>(C3-C2)/C2</f>
        <v>-0.8</v>
      </c>
      <c r="D4" t="str">
        <f t="shared" ca="1" si="0"/>
        <v>=(C3-C2)/C2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Bond - Maturity</vt:lpstr>
      <vt:lpstr>Bond - Coupon</vt:lpstr>
      <vt:lpstr>Stock</vt:lpstr>
      <vt:lpstr>'Bond - Coupon'!Face</vt:lpstr>
      <vt:lpstr>'Bond - Maturity'!Face</vt:lpstr>
      <vt:lpstr>'Bond - Coupon'!Maturity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2015-06-05T18:17:20Z</dcterms:created>
  <dcterms:modified xsi:type="dcterms:W3CDTF">2024-01-08T16:51:52Z</dcterms:modified>
</cp:coreProperties>
</file>