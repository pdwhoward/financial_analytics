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dwho\Dropbox (Personal)\Courses\Teaching\Financial Analytics\Course\6 - Discounted Cash Flow &amp; Real Options\1 - Async\Excel\"/>
    </mc:Choice>
  </mc:AlternateContent>
  <xr:revisionPtr revIDLastSave="0" documentId="13_ncr:1_{A04B97EE-3FCE-44BC-80CA-D23CF8FB05FE}" xr6:coauthVersionLast="47" xr6:coauthVersionMax="47" xr10:uidLastSave="{00000000-0000-0000-0000-000000000000}"/>
  <bookViews>
    <workbookView xWindow="-110" yWindow="-110" windowWidth="19420" windowHeight="10300" xr2:uid="{6394BC74-EAE9-47A1-8528-22ED1E30B107}"/>
  </bookViews>
  <sheets>
    <sheet name="Discounted Cash Flow Analysis" sheetId="2" r:id="rId1"/>
    <sheet name="CB_DATA_" sheetId="5" state="veryHidden" r:id="rId2"/>
    <sheet name="Real Option - Simulation" sheetId="3" r:id="rId3"/>
    <sheet name="Real Option - Decision Tree" sheetId="4" r:id="rId4"/>
  </sheets>
  <definedNames>
    <definedName name="d">'Real Option - Decision Tree'!$C$2</definedName>
    <definedName name="K">'Real Option - Decision Tree'!$C$8</definedName>
    <definedName name="L">'Real Option - Decision Tree'!$C$7</definedName>
    <definedName name="Pd">'Real Option - Decision Tree'!$C$5</definedName>
    <definedName name="Pu">'Real Option - Decision Tree'!$C$4</definedName>
    <definedName name="solver_corr" hidden="1">1</definedName>
    <definedName name="solver_ctp1" hidden="1">0</definedName>
    <definedName name="solver_ctp2" hidden="1">0</definedName>
    <definedName name="solver_disp" hidden="1">0</definedName>
    <definedName name="solver_eng" localSheetId="0" hidden="1">1</definedName>
    <definedName name="solver_eval" hidden="1">0</definedName>
    <definedName name="solver_lcens" hidden="1">-1E+30</definedName>
    <definedName name="solver_lcut" hidden="1">-1E+30</definedName>
    <definedName name="solver_neg" localSheetId="0" hidden="1">1</definedName>
    <definedName name="solver_nsim" hidden="1">1</definedName>
    <definedName name="solver_nssim" hidden="1">-1</definedName>
    <definedName name="solver_ntri" hidden="1">1000</definedName>
    <definedName name="solver_num" localSheetId="0" hidden="1">0</definedName>
    <definedName name="solver_rgen" hidden="1">3</definedName>
    <definedName name="solver_rsmp" hidden="1">1</definedName>
    <definedName name="solver_sclt" hidden="1">100</definedName>
    <definedName name="solver_seed" hidden="1">0</definedName>
    <definedName name="solver_strm" hidden="1">0</definedName>
    <definedName name="solver_typ" localSheetId="0" hidden="1">1</definedName>
    <definedName name="solver_ucens" hidden="1">1E+30</definedName>
    <definedName name="solver_ucut" hidden="1">1E+30</definedName>
    <definedName name="solver_val" localSheetId="0" hidden="1">0</definedName>
    <definedName name="solver_ver" localSheetId="0" hidden="1">3</definedName>
    <definedName name="solveri_CClick" hidden="1">"System.Boolean:False"</definedName>
    <definedName name="solveri_CPop" hidden="1">"System.Boolean:False"</definedName>
    <definedName name="solveri_CTyp" hidden="1">"RiskSolver.Globals.ChartType:Bar"</definedName>
    <definedName name="solvero_CClick" hidden="1">"System.Boolean:True"</definedName>
    <definedName name="solvero_ChGlobalShow" hidden="1">"System.Boolean:False"</definedName>
    <definedName name="solvero_CPop" hidden="1">"System.Boolean:False"</definedName>
    <definedName name="solvero_CTyp" hidden="1">"RiskSolver.Globals.ChartType:Bar"</definedName>
    <definedName name="u">'Real Option - Decision Tree'!$C$1</definedName>
    <definedName name="WACC">'Real Option - Decision Tree'!$C$9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4" l="1"/>
</calcChain>
</file>

<file path=xl/sharedStrings.xml><?xml version="1.0" encoding="utf-8"?>
<sst xmlns="http://schemas.openxmlformats.org/spreadsheetml/2006/main" count="105" uniqueCount="87">
  <si>
    <t>Cash</t>
  </si>
  <si>
    <t>Net Fixed Assets</t>
  </si>
  <si>
    <t>Total Assets</t>
  </si>
  <si>
    <t>Assets</t>
  </si>
  <si>
    <t>Equity</t>
  </si>
  <si>
    <t>Income Statement</t>
  </si>
  <si>
    <t>Sales</t>
  </si>
  <si>
    <t>- Depreciation</t>
  </si>
  <si>
    <t>EBIT</t>
  </si>
  <si>
    <t>- Interest</t>
  </si>
  <si>
    <t>= EBT</t>
  </si>
  <si>
    <t>- Tax</t>
  </si>
  <si>
    <t>= Net Income</t>
  </si>
  <si>
    <t>Tax Rate</t>
  </si>
  <si>
    <t>Interest Rate</t>
  </si>
  <si>
    <t>Working Capital Requirements</t>
  </si>
  <si>
    <t>Free Cash Flow</t>
  </si>
  <si>
    <t>+ Depreciation</t>
  </si>
  <si>
    <t>- Change WCR</t>
  </si>
  <si>
    <t>- Net Capital Expenditures</t>
  </si>
  <si>
    <t>- Cash Tax</t>
  </si>
  <si>
    <t>Cash / Sales</t>
  </si>
  <si>
    <t>Sales Growth</t>
  </si>
  <si>
    <t>Managerial Balance Sheet</t>
  </si>
  <si>
    <t>WACC</t>
  </si>
  <si>
    <t>Total Debt &amp; Equity</t>
  </si>
  <si>
    <t>Terminal Value</t>
  </si>
  <si>
    <t>Total Free Cash Flow</t>
  </si>
  <si>
    <t>WCR / Sales</t>
  </si>
  <si>
    <t>NFA / Sales</t>
  </si>
  <si>
    <t>Debt &amp; Equity</t>
  </si>
  <si>
    <t>Residual</t>
  </si>
  <si>
    <t>Debt / Assets</t>
  </si>
  <si>
    <t>Equity / Assets</t>
  </si>
  <si>
    <t>Long-run FCF Growth Rate</t>
  </si>
  <si>
    <t>Market Value of Firm</t>
  </si>
  <si>
    <t>Net Debt</t>
  </si>
  <si>
    <t>Market Value of Equity</t>
  </si>
  <si>
    <t>Assumptions</t>
  </si>
  <si>
    <t>Debt</t>
  </si>
  <si>
    <t>Depreciation / NFA</t>
  </si>
  <si>
    <t>=Debt - Cash</t>
  </si>
  <si>
    <t>=Firm - Net Debt</t>
  </si>
  <si>
    <t>F2024</t>
  </si>
  <si>
    <t>F2021</t>
  </si>
  <si>
    <t>F2022</t>
  </si>
  <si>
    <t>F2023</t>
  </si>
  <si>
    <t>F2025</t>
  </si>
  <si>
    <t>F2026</t>
  </si>
  <si>
    <t>- COGS</t>
  </si>
  <si>
    <t>COGS / Sales</t>
  </si>
  <si>
    <t>t</t>
  </si>
  <si>
    <t>NPV</t>
  </si>
  <si>
    <t>Real</t>
  </si>
  <si>
    <t>Cost to Aquire Land at t=0</t>
  </si>
  <si>
    <t>Cost to Develop at t=1</t>
  </si>
  <si>
    <t>CF ~ N(200,150)</t>
  </si>
  <si>
    <t>Growth rate up</t>
  </si>
  <si>
    <t>u</t>
  </si>
  <si>
    <t>Rental</t>
  </si>
  <si>
    <t>Growth rate down</t>
  </si>
  <si>
    <t>d</t>
  </si>
  <si>
    <t>Probability of up</t>
  </si>
  <si>
    <t>Pu</t>
  </si>
  <si>
    <t>Probability of down</t>
  </si>
  <si>
    <t>Pd</t>
  </si>
  <si>
    <t>Cost of Land</t>
  </si>
  <si>
    <t>L</t>
  </si>
  <si>
    <t>Development Cost</t>
  </si>
  <si>
    <t>K</t>
  </si>
  <si>
    <t>Discount Rate</t>
  </si>
  <si>
    <t>Flexibility</t>
  </si>
  <si>
    <t>Option</t>
  </si>
  <si>
    <t>Standard NPV</t>
  </si>
  <si>
    <t>Real Option</t>
  </si>
  <si>
    <t>Crystal Ball Data</t>
  </si>
  <si>
    <t>Workbook Variables</t>
  </si>
  <si>
    <t>Last Var Column</t>
  </si>
  <si>
    <t xml:space="preserve">    Name:</t>
  </si>
  <si>
    <t xml:space="preserve">    Value:</t>
  </si>
  <si>
    <t>Worksheet Data</t>
  </si>
  <si>
    <t>Last Data Column Used</t>
  </si>
  <si>
    <t>Sheet Ref</t>
  </si>
  <si>
    <t>Sheet Guid</t>
  </si>
  <si>
    <t>Deleted sheet count</t>
  </si>
  <si>
    <t>Last row used</t>
  </si>
  <si>
    <t>Data blocks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</si>
</sst>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6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quotePrefix="1"/>
    <xf numFmtId="0" fontId="3" fillId="0" borderId="2" xfId="0" applyFont="1" applyBorder="1"/>
    <xf numFmtId="0" fontId="4" fillId="0" borderId="0" xfId="0" applyFont="1"/>
    <xf numFmtId="0" fontId="3" fillId="0" borderId="0" xfId="0" applyFont="1"/>
    <xf numFmtId="0" fontId="1" fillId="0" borderId="2" xfId="0" applyFont="1" applyBorder="1"/>
    <xf numFmtId="164" fontId="0" fillId="0" borderId="0" xfId="1" applyNumberFormat="1" applyFont="1"/>
    <xf numFmtId="164" fontId="0" fillId="0" borderId="0" xfId="1" quotePrefix="1" applyNumberFormat="1" applyFont="1"/>
    <xf numFmtId="0" fontId="3" fillId="0" borderId="2" xfId="1" applyNumberFormat="1" applyFont="1" applyFill="1" applyBorder="1" applyAlignment="1">
      <alignment horizontal="center"/>
    </xf>
    <xf numFmtId="164" fontId="0" fillId="0" borderId="0" xfId="1" quotePrefix="1" applyNumberFormat="1" applyFont="1" applyAlignment="1">
      <alignment horizontal="left"/>
    </xf>
    <xf numFmtId="0" fontId="4" fillId="0" borderId="2" xfId="0" quotePrefix="1" applyFont="1" applyBorder="1"/>
    <xf numFmtId="0" fontId="1" fillId="0" borderId="0" xfId="0" applyFont="1"/>
    <xf numFmtId="0" fontId="2" fillId="0" borderId="0" xfId="1" applyNumberFormat="1" applyFont="1" applyAlignment="1">
      <alignment horizontal="left"/>
    </xf>
    <xf numFmtId="0" fontId="0" fillId="0" borderId="0" xfId="0" applyAlignment="1">
      <alignment horizontal="left"/>
    </xf>
    <xf numFmtId="9" fontId="0" fillId="0" borderId="0" xfId="2" applyFont="1"/>
    <xf numFmtId="0" fontId="0" fillId="0" borderId="2" xfId="0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0" xfId="0" quotePrefix="1" applyAlignment="1">
      <alignment horizontal="left"/>
    </xf>
    <xf numFmtId="0" fontId="0" fillId="0" borderId="1" xfId="0" quotePrefix="1" applyBorder="1" applyAlignment="1">
      <alignment horizontal="left"/>
    </xf>
    <xf numFmtId="0" fontId="0" fillId="0" borderId="1" xfId="0" quotePrefix="1" applyBorder="1"/>
    <xf numFmtId="0" fontId="0" fillId="0" borderId="0" xfId="1" applyNumberFormat="1" applyFont="1" applyBorder="1"/>
    <xf numFmtId="9" fontId="1" fillId="0" borderId="0" xfId="2" applyFont="1" applyBorder="1" applyAlignment="1"/>
    <xf numFmtId="9" fontId="0" fillId="0" borderId="0" xfId="2" applyFont="1" applyBorder="1"/>
    <xf numFmtId="0" fontId="0" fillId="0" borderId="1" xfId="0" applyBorder="1"/>
    <xf numFmtId="9" fontId="0" fillId="3" borderId="0" xfId="2" applyFont="1" applyFill="1"/>
    <xf numFmtId="9" fontId="0" fillId="3" borderId="0" xfId="2" applyFont="1" applyFill="1" applyBorder="1"/>
    <xf numFmtId="0" fontId="0" fillId="3" borderId="0" xfId="3" applyNumberFormat="1" applyFont="1" applyFill="1" applyBorder="1"/>
    <xf numFmtId="9" fontId="0" fillId="3" borderId="0" xfId="2" applyFont="1" applyFill="1" applyAlignment="1">
      <alignment horizontal="center"/>
    </xf>
    <xf numFmtId="0" fontId="4" fillId="0" borderId="2" xfId="0" applyFont="1" applyBorder="1"/>
    <xf numFmtId="164" fontId="4" fillId="0" borderId="0" xfId="1" applyNumberFormat="1" applyFont="1" applyFill="1" applyBorder="1" applyAlignment="1">
      <alignment horizontal="center"/>
    </xf>
    <xf numFmtId="164" fontId="0" fillId="2" borderId="0" xfId="1" applyNumberFormat="1" applyFont="1" applyFill="1" applyAlignment="1">
      <alignment horizontal="center"/>
    </xf>
    <xf numFmtId="164" fontId="0" fillId="0" borderId="0" xfId="1" quotePrefix="1" applyNumberFormat="1" applyFont="1" applyAlignment="1">
      <alignment horizontal="center"/>
    </xf>
    <xf numFmtId="164" fontId="4" fillId="0" borderId="0" xfId="1" applyNumberFormat="1" applyFont="1" applyFill="1" applyAlignment="1">
      <alignment horizontal="center"/>
    </xf>
    <xf numFmtId="164" fontId="0" fillId="0" borderId="0" xfId="1" quotePrefix="1" applyNumberFormat="1" applyFont="1" applyFill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Fill="1" applyBorder="1" applyAlignment="1">
      <alignment horizontal="center"/>
    </xf>
    <xf numFmtId="164" fontId="0" fillId="2" borderId="0" xfId="1" applyNumberFormat="1" applyFont="1" applyFill="1" applyBorder="1" applyAlignment="1">
      <alignment horizontal="center"/>
    </xf>
    <xf numFmtId="164" fontId="4" fillId="0" borderId="2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64" fontId="3" fillId="2" borderId="0" xfId="1" applyNumberFormat="1" applyFont="1" applyFill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164" fontId="2" fillId="0" borderId="0" xfId="1" applyNumberFormat="1" applyFont="1" applyAlignment="1">
      <alignment horizontal="center"/>
    </xf>
    <xf numFmtId="164" fontId="2" fillId="0" borderId="0" xfId="1" applyNumberFormat="1" applyFont="1" applyFill="1" applyAlignment="1">
      <alignment horizontal="center"/>
    </xf>
    <xf numFmtId="164" fontId="1" fillId="2" borderId="0" xfId="1" applyNumberFormat="1" applyFont="1" applyFill="1" applyAlignment="1">
      <alignment horizontal="center"/>
    </xf>
    <xf numFmtId="164" fontId="0" fillId="4" borderId="0" xfId="1" quotePrefix="1" applyNumberFormat="1" applyFont="1" applyFill="1" applyAlignment="1">
      <alignment horizontal="center"/>
    </xf>
    <xf numFmtId="164" fontId="0" fillId="2" borderId="0" xfId="1" quotePrefix="1" applyNumberFormat="1" applyFont="1" applyFill="1" applyAlignment="1">
      <alignment horizontal="center"/>
    </xf>
    <xf numFmtId="164" fontId="0" fillId="4" borderId="1" xfId="1" quotePrefix="1" applyNumberFormat="1" applyFont="1" applyFill="1" applyBorder="1" applyAlignment="1">
      <alignment horizontal="center"/>
    </xf>
    <xf numFmtId="164" fontId="0" fillId="2" borderId="1" xfId="1" quotePrefix="1" applyNumberFormat="1" applyFont="1" applyFill="1" applyBorder="1" applyAlignment="1">
      <alignment horizontal="center"/>
    </xf>
    <xf numFmtId="164" fontId="0" fillId="4" borderId="0" xfId="1" applyNumberFormat="1" applyFont="1" applyFill="1" applyBorder="1" applyAlignment="1">
      <alignment horizontal="center"/>
    </xf>
    <xf numFmtId="164" fontId="4" fillId="4" borderId="0" xfId="1" applyNumberFormat="1" applyFont="1" applyFill="1" applyBorder="1" applyAlignment="1">
      <alignment horizontal="center"/>
    </xf>
    <xf numFmtId="164" fontId="4" fillId="2" borderId="0" xfId="1" applyNumberFormat="1" applyFont="1" applyFill="1" applyBorder="1" applyAlignment="1">
      <alignment horizontal="center"/>
    </xf>
    <xf numFmtId="164" fontId="4" fillId="4" borderId="2" xfId="1" applyNumberFormat="1" applyFont="1" applyFill="1" applyBorder="1" applyAlignment="1">
      <alignment horizontal="center"/>
    </xf>
    <xf numFmtId="164" fontId="4" fillId="2" borderId="2" xfId="1" applyNumberFormat="1" applyFont="1" applyFill="1" applyBorder="1" applyAlignment="1">
      <alignment horizontal="center"/>
    </xf>
    <xf numFmtId="164" fontId="3" fillId="4" borderId="0" xfId="1" applyNumberFormat="1" applyFont="1" applyFill="1" applyBorder="1" applyAlignment="1">
      <alignment horizontal="center"/>
    </xf>
    <xf numFmtId="164" fontId="1" fillId="4" borderId="0" xfId="1" applyNumberFormat="1" applyFont="1" applyFill="1" applyAlignment="1">
      <alignment horizontal="center"/>
    </xf>
    <xf numFmtId="0" fontId="2" fillId="0" borderId="0" xfId="1" applyNumberFormat="1" applyFont="1" applyAlignment="1">
      <alignment horizontal="center"/>
    </xf>
    <xf numFmtId="164" fontId="2" fillId="2" borderId="1" xfId="2" applyNumberFormat="1" applyFont="1" applyFill="1" applyBorder="1" applyAlignment="1">
      <alignment horizontal="center"/>
    </xf>
    <xf numFmtId="9" fontId="0" fillId="0" borderId="0" xfId="2" applyFont="1" applyFill="1"/>
    <xf numFmtId="0" fontId="0" fillId="0" borderId="2" xfId="0" quotePrefix="1" applyBorder="1" applyAlignment="1">
      <alignment horizontal="left"/>
    </xf>
    <xf numFmtId="164" fontId="0" fillId="4" borderId="2" xfId="1" quotePrefix="1" applyNumberFormat="1" applyFont="1" applyFill="1" applyBorder="1" applyAlignment="1">
      <alignment horizontal="center"/>
    </xf>
    <xf numFmtId="164" fontId="0" fillId="2" borderId="2" xfId="1" quotePrefix="1" applyNumberFormat="1" applyFont="1" applyFill="1" applyBorder="1" applyAlignment="1">
      <alignment horizontal="center"/>
    </xf>
    <xf numFmtId="0" fontId="1" fillId="0" borderId="0" xfId="0" quotePrefix="1" applyFont="1" applyAlignment="1">
      <alignment horizontal="left"/>
    </xf>
    <xf numFmtId="164" fontId="1" fillId="4" borderId="0" xfId="1" quotePrefix="1" applyNumberFormat="1" applyFont="1" applyFill="1" applyBorder="1" applyAlignment="1">
      <alignment horizontal="center"/>
    </xf>
    <xf numFmtId="164" fontId="1" fillId="2" borderId="0" xfId="1" quotePrefix="1" applyNumberFormat="1" applyFont="1" applyFill="1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164" fontId="4" fillId="4" borderId="1" xfId="1" quotePrefix="1" applyNumberFormat="1" applyFont="1" applyFill="1" applyBorder="1" applyAlignment="1">
      <alignment horizontal="center"/>
    </xf>
    <xf numFmtId="164" fontId="2" fillId="2" borderId="0" xfId="1" applyNumberFormat="1" applyFont="1" applyFill="1" applyAlignment="1">
      <alignment horizontal="center"/>
    </xf>
    <xf numFmtId="164" fontId="0" fillId="4" borderId="3" xfId="1" applyNumberFormat="1" applyFont="1" applyFill="1" applyBorder="1" applyAlignment="1">
      <alignment horizontal="center"/>
    </xf>
    <xf numFmtId="164" fontId="4" fillId="0" borderId="0" xfId="1" applyNumberFormat="1" applyFont="1" applyAlignment="1">
      <alignment vertical="top" wrapText="1"/>
    </xf>
    <xf numFmtId="0" fontId="3" fillId="3" borderId="1" xfId="1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1" quotePrefix="1" applyNumberFormat="1" applyFont="1" applyBorder="1" applyAlignment="1">
      <alignment horizontal="left"/>
    </xf>
    <xf numFmtId="0" fontId="2" fillId="0" borderId="0" xfId="1" quotePrefix="1" applyNumberFormat="1" applyFont="1" applyAlignment="1">
      <alignment horizontal="left"/>
    </xf>
    <xf numFmtId="0" fontId="1" fillId="0" borderId="1" xfId="0" applyFont="1" applyBorder="1" applyAlignment="1">
      <alignment horizontal="center"/>
    </xf>
    <xf numFmtId="44" fontId="1" fillId="0" borderId="1" xfId="1" applyFont="1" applyBorder="1" applyAlignment="1">
      <alignment horizontal="center"/>
    </xf>
    <xf numFmtId="6" fontId="0" fillId="0" borderId="0" xfId="0" applyNumberFormat="1"/>
    <xf numFmtId="0" fontId="0" fillId="0" borderId="0" xfId="0" applyAlignment="1">
      <alignment horizontal="center"/>
    </xf>
    <xf numFmtId="164" fontId="0" fillId="0" borderId="0" xfId="1" applyNumberFormat="1" applyFont="1" applyFill="1" applyAlignment="1">
      <alignment horizontal="center"/>
    </xf>
    <xf numFmtId="0" fontId="6" fillId="0" borderId="0" xfId="4"/>
    <xf numFmtId="9" fontId="0" fillId="0" borderId="0" xfId="5" applyFont="1"/>
    <xf numFmtId="44" fontId="6" fillId="0" borderId="0" xfId="1" applyFont="1" applyAlignment="1">
      <alignment horizontal="center"/>
    </xf>
    <xf numFmtId="1" fontId="6" fillId="0" borderId="1" xfId="1" applyNumberFormat="1" applyFont="1" applyBorder="1" applyAlignment="1">
      <alignment horizontal="center"/>
    </xf>
    <xf numFmtId="44" fontId="0" fillId="0" borderId="0" xfId="1" applyFont="1" applyAlignment="1">
      <alignment horizontal="center"/>
    </xf>
    <xf numFmtId="44" fontId="6" fillId="0" borderId="0" xfId="1" applyFont="1" applyAlignment="1">
      <alignment horizontal="center"/>
    </xf>
    <xf numFmtId="164" fontId="6" fillId="0" borderId="0" xfId="1" applyNumberFormat="1" applyFont="1"/>
    <xf numFmtId="9" fontId="6" fillId="0" borderId="0" xfId="4" applyNumberFormat="1"/>
    <xf numFmtId="44" fontId="0" fillId="2" borderId="0" xfId="1" applyFont="1" applyFill="1" applyAlignment="1">
      <alignment horizontal="center"/>
    </xf>
    <xf numFmtId="44" fontId="6" fillId="2" borderId="0" xfId="1" applyFont="1" applyFill="1" applyAlignment="1">
      <alignment horizontal="center"/>
    </xf>
  </cellXfs>
  <cellStyles count="6">
    <cellStyle name="Comma" xfId="3" builtinId="3"/>
    <cellStyle name="Currency" xfId="1" builtinId="4"/>
    <cellStyle name="Normal" xfId="0" builtinId="0"/>
    <cellStyle name="Normal 2" xfId="4" xr:uid="{DE934BD1-B9EA-40AF-B6D5-AA09B94F69A8}"/>
    <cellStyle name="Percent" xfId="2" builtinId="5"/>
    <cellStyle name="Percent 2" xfId="5" xr:uid="{020C3863-8CB4-4FBC-B080-AF0AB6D0D5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FB90-26B1-44C9-90FF-AB3D820DD8A7}">
  <sheetPr codeName="Sheet2"/>
  <dimension ref="A1:J38"/>
  <sheetViews>
    <sheetView tabSelected="1" zoomScale="70" zoomScaleNormal="70" workbookViewId="0"/>
  </sheetViews>
  <sheetFormatPr defaultRowHeight="14.5" x14ac:dyDescent="0.35"/>
  <cols>
    <col min="1" max="1" width="25.54296875" bestFit="1" customWidth="1"/>
    <col min="2" max="7" width="8.6328125" style="35" customWidth="1"/>
    <col min="8" max="8" width="14.36328125" style="6" bestFit="1" customWidth="1"/>
    <col min="9" max="9" width="22.1796875" bestFit="1" customWidth="1"/>
    <col min="10" max="10" width="4.36328125" style="14" bestFit="1" customWidth="1"/>
  </cols>
  <sheetData>
    <row r="1" spans="1:10" ht="15" thickBot="1" x14ac:dyDescent="0.4">
      <c r="A1" s="5" t="s">
        <v>5</v>
      </c>
      <c r="B1" s="16">
        <v>2020</v>
      </c>
      <c r="C1" s="8" t="s">
        <v>44</v>
      </c>
      <c r="D1" s="8" t="s">
        <v>45</v>
      </c>
      <c r="E1" s="8" t="s">
        <v>46</v>
      </c>
      <c r="F1" s="8" t="s">
        <v>43</v>
      </c>
      <c r="G1" s="8" t="s">
        <v>47</v>
      </c>
      <c r="I1" s="70" t="s">
        <v>38</v>
      </c>
      <c r="J1" s="70"/>
    </row>
    <row r="2" spans="1:10" x14ac:dyDescent="0.35">
      <c r="A2" s="17" t="s">
        <v>6</v>
      </c>
      <c r="B2" s="68">
        <v>2000</v>
      </c>
      <c r="C2" s="31"/>
      <c r="D2" s="31"/>
      <c r="E2" s="31"/>
      <c r="F2" s="31"/>
      <c r="G2" s="31"/>
      <c r="H2"/>
      <c r="I2" t="s">
        <v>22</v>
      </c>
      <c r="J2" s="25">
        <v>0.08</v>
      </c>
    </row>
    <row r="3" spans="1:10" x14ac:dyDescent="0.35">
      <c r="A3" s="18" t="s">
        <v>49</v>
      </c>
      <c r="B3" s="45">
        <v>1880</v>
      </c>
      <c r="C3" s="46"/>
      <c r="D3" s="46"/>
      <c r="E3" s="46"/>
      <c r="F3" s="46"/>
      <c r="G3" s="46"/>
      <c r="H3"/>
      <c r="I3" t="s">
        <v>50</v>
      </c>
      <c r="J3" s="25"/>
    </row>
    <row r="4" spans="1:10" x14ac:dyDescent="0.35">
      <c r="A4" s="20" t="s">
        <v>7</v>
      </c>
      <c r="B4" s="47">
        <v>20</v>
      </c>
      <c r="C4" s="48"/>
      <c r="D4" s="48"/>
      <c r="E4" s="48"/>
      <c r="F4" s="48"/>
      <c r="G4" s="48"/>
      <c r="I4" t="s">
        <v>40</v>
      </c>
      <c r="J4" s="25"/>
    </row>
    <row r="5" spans="1:10" x14ac:dyDescent="0.35">
      <c r="A5" s="13" t="s">
        <v>8</v>
      </c>
      <c r="B5" s="49">
        <v>100</v>
      </c>
      <c r="C5" s="37"/>
      <c r="D5" s="37"/>
      <c r="E5" s="37"/>
      <c r="F5" s="37"/>
      <c r="G5" s="37"/>
    </row>
    <row r="6" spans="1:10" x14ac:dyDescent="0.35">
      <c r="A6" s="19" t="s">
        <v>9</v>
      </c>
      <c r="B6" s="66">
        <v>11.574074074074073</v>
      </c>
      <c r="C6" s="48"/>
      <c r="D6" s="48"/>
      <c r="E6" s="48"/>
      <c r="F6" s="48"/>
      <c r="G6" s="48"/>
      <c r="H6" s="9"/>
      <c r="I6" t="s">
        <v>14</v>
      </c>
      <c r="J6" s="58">
        <v>0.05</v>
      </c>
    </row>
    <row r="7" spans="1:10" x14ac:dyDescent="0.35">
      <c r="A7" s="18" t="s">
        <v>10</v>
      </c>
      <c r="B7" s="45">
        <v>88.425925925925924</v>
      </c>
      <c r="C7" s="46"/>
      <c r="D7" s="46"/>
      <c r="E7" s="46"/>
      <c r="F7" s="46"/>
      <c r="G7" s="46"/>
    </row>
    <row r="8" spans="1:10" ht="15" thickBot="1" x14ac:dyDescent="0.4">
      <c r="A8" s="59" t="s">
        <v>11</v>
      </c>
      <c r="B8" s="60">
        <v>26.527777777777775</v>
      </c>
      <c r="C8" s="61"/>
      <c r="D8" s="61"/>
      <c r="E8" s="61"/>
      <c r="F8" s="61"/>
      <c r="G8" s="61"/>
      <c r="H8" s="7"/>
      <c r="I8" t="s">
        <v>13</v>
      </c>
      <c r="J8" s="58">
        <v>0.3</v>
      </c>
    </row>
    <row r="9" spans="1:10" x14ac:dyDescent="0.35">
      <c r="A9" s="62" t="s">
        <v>12</v>
      </c>
      <c r="B9" s="63">
        <v>61.898148148148152</v>
      </c>
      <c r="C9" s="64"/>
      <c r="D9" s="64"/>
      <c r="E9" s="64"/>
      <c r="F9" s="64"/>
      <c r="G9" s="64"/>
      <c r="J9"/>
    </row>
    <row r="10" spans="1:10" x14ac:dyDescent="0.35">
      <c r="B10" s="65"/>
      <c r="C10" s="65"/>
      <c r="D10" s="65"/>
      <c r="E10" s="65"/>
      <c r="F10" s="65"/>
      <c r="G10" s="65"/>
      <c r="I10" s="14"/>
    </row>
    <row r="12" spans="1:10" ht="15" thickBot="1" x14ac:dyDescent="0.4">
      <c r="A12" s="15"/>
      <c r="B12" s="71" t="s">
        <v>23</v>
      </c>
      <c r="C12" s="71"/>
      <c r="D12" s="71"/>
      <c r="E12" s="71"/>
      <c r="F12" s="71"/>
      <c r="G12" s="71"/>
      <c r="H12" s="11"/>
      <c r="I12" s="11"/>
      <c r="J12" s="22"/>
    </row>
    <row r="13" spans="1:10" ht="15" thickBot="1" x14ac:dyDescent="0.4">
      <c r="A13" s="2" t="s">
        <v>3</v>
      </c>
      <c r="B13" s="16">
        <v>2020</v>
      </c>
      <c r="C13" s="8" t="s">
        <v>44</v>
      </c>
      <c r="D13" s="8" t="s">
        <v>45</v>
      </c>
      <c r="E13" s="8" t="s">
        <v>46</v>
      </c>
      <c r="F13" s="8" t="s">
        <v>43</v>
      </c>
      <c r="G13" s="8" t="s">
        <v>47</v>
      </c>
    </row>
    <row r="14" spans="1:10" x14ac:dyDescent="0.35">
      <c r="A14" s="3" t="s">
        <v>0</v>
      </c>
      <c r="B14" s="50">
        <v>100</v>
      </c>
      <c r="C14" s="51"/>
      <c r="D14" s="51"/>
      <c r="E14" s="51"/>
      <c r="F14" s="51"/>
      <c r="G14" s="51"/>
      <c r="H14" s="69"/>
      <c r="I14" t="s">
        <v>21</v>
      </c>
      <c r="J14" s="25"/>
    </row>
    <row r="15" spans="1:10" x14ac:dyDescent="0.35">
      <c r="A15" s="3" t="s">
        <v>15</v>
      </c>
      <c r="B15" s="50">
        <v>200</v>
      </c>
      <c r="C15" s="51"/>
      <c r="D15" s="51"/>
      <c r="E15" s="51"/>
      <c r="F15" s="51"/>
      <c r="G15" s="51"/>
      <c r="H15" s="69"/>
      <c r="I15" s="13" t="s">
        <v>28</v>
      </c>
      <c r="J15" s="25"/>
    </row>
    <row r="16" spans="1:10" ht="15" thickBot="1" x14ac:dyDescent="0.4">
      <c r="A16" s="29" t="s">
        <v>1</v>
      </c>
      <c r="B16" s="52">
        <v>200</v>
      </c>
      <c r="C16" s="53"/>
      <c r="D16" s="53"/>
      <c r="E16" s="53"/>
      <c r="F16" s="53"/>
      <c r="G16" s="53"/>
      <c r="H16" s="69"/>
      <c r="I16" t="s">
        <v>29</v>
      </c>
      <c r="J16" s="25"/>
    </row>
    <row r="17" spans="1:10" x14ac:dyDescent="0.35">
      <c r="A17" s="4" t="s">
        <v>2</v>
      </c>
      <c r="B17" s="54">
        <v>500</v>
      </c>
      <c r="C17" s="40"/>
      <c r="D17" s="40"/>
      <c r="E17" s="40"/>
      <c r="F17" s="40"/>
      <c r="G17" s="40"/>
      <c r="H17" s="69"/>
      <c r="J17"/>
    </row>
    <row r="18" spans="1:10" ht="15" thickBot="1" x14ac:dyDescent="0.4">
      <c r="A18" s="15"/>
      <c r="B18" s="41"/>
      <c r="C18" s="41"/>
      <c r="D18" s="41"/>
      <c r="E18" s="41"/>
      <c r="F18" s="41"/>
      <c r="G18" s="41"/>
      <c r="J18"/>
    </row>
    <row r="19" spans="1:10" ht="15" thickBot="1" x14ac:dyDescent="0.4">
      <c r="A19" s="5" t="s">
        <v>30</v>
      </c>
      <c r="B19" s="16">
        <v>2020</v>
      </c>
      <c r="C19" s="8" t="s">
        <v>44</v>
      </c>
      <c r="D19" s="8" t="s">
        <v>45</v>
      </c>
      <c r="E19" s="8" t="s">
        <v>46</v>
      </c>
      <c r="F19" s="8" t="s">
        <v>43</v>
      </c>
      <c r="G19" s="8" t="s">
        <v>47</v>
      </c>
    </row>
    <row r="20" spans="1:10" x14ac:dyDescent="0.35">
      <c r="A20" s="3" t="s">
        <v>39</v>
      </c>
      <c r="B20" s="50">
        <v>250</v>
      </c>
      <c r="C20" s="51"/>
      <c r="D20" s="51"/>
      <c r="E20" s="51"/>
      <c r="F20" s="51"/>
      <c r="G20" s="51"/>
      <c r="H20"/>
      <c r="I20" s="21" t="s">
        <v>32</v>
      </c>
      <c r="J20" s="26"/>
    </row>
    <row r="21" spans="1:10" ht="15" thickBot="1" x14ac:dyDescent="0.4">
      <c r="A21" s="29" t="s">
        <v>4</v>
      </c>
      <c r="B21" s="52">
        <v>250</v>
      </c>
      <c r="C21" s="53"/>
      <c r="D21" s="53"/>
      <c r="E21" s="53"/>
      <c r="F21" s="53"/>
      <c r="G21" s="53"/>
      <c r="H21"/>
      <c r="I21" s="21" t="s">
        <v>33</v>
      </c>
      <c r="J21" s="26"/>
    </row>
    <row r="22" spans="1:10" x14ac:dyDescent="0.35">
      <c r="A22" s="4" t="s">
        <v>25</v>
      </c>
      <c r="B22" s="55">
        <v>500</v>
      </c>
      <c r="C22" s="44"/>
      <c r="D22" s="44"/>
      <c r="E22" s="44"/>
      <c r="F22" s="44"/>
      <c r="G22" s="44"/>
      <c r="H22" s="27" t="s">
        <v>31</v>
      </c>
      <c r="J22"/>
    </row>
    <row r="25" spans="1:10" ht="15" thickBot="1" x14ac:dyDescent="0.4">
      <c r="A25" s="2" t="s">
        <v>16</v>
      </c>
      <c r="B25" s="16">
        <v>2020</v>
      </c>
      <c r="C25" s="8" t="s">
        <v>44</v>
      </c>
      <c r="D25" s="8" t="s">
        <v>45</v>
      </c>
      <c r="E25" s="8" t="s">
        <v>46</v>
      </c>
      <c r="F25" s="8" t="s">
        <v>43</v>
      </c>
      <c r="G25" s="8" t="s">
        <v>47</v>
      </c>
      <c r="H25" s="8" t="s">
        <v>48</v>
      </c>
      <c r="I25" s="21"/>
      <c r="J25" s="23"/>
    </row>
    <row r="26" spans="1:10" x14ac:dyDescent="0.35">
      <c r="A26" s="3" t="s">
        <v>8</v>
      </c>
      <c r="B26" s="30"/>
      <c r="C26" s="31"/>
      <c r="D26" s="31"/>
      <c r="E26" s="31"/>
      <c r="F26" s="31"/>
      <c r="G26" s="31"/>
      <c r="H26" s="32"/>
      <c r="I26" s="21"/>
      <c r="J26" s="23"/>
    </row>
    <row r="27" spans="1:10" x14ac:dyDescent="0.35">
      <c r="A27" s="1" t="s">
        <v>20</v>
      </c>
      <c r="B27" s="33"/>
      <c r="C27" s="31"/>
      <c r="D27" s="31"/>
      <c r="E27" s="31"/>
      <c r="F27" s="31"/>
      <c r="G27" s="31"/>
      <c r="H27" s="32"/>
      <c r="I27" s="21"/>
      <c r="J27" s="23"/>
    </row>
    <row r="28" spans="1:10" x14ac:dyDescent="0.35">
      <c r="A28" s="1" t="s">
        <v>17</v>
      </c>
      <c r="B28" s="34"/>
      <c r="C28" s="31"/>
      <c r="D28" s="31"/>
      <c r="E28" s="31"/>
      <c r="F28" s="31"/>
      <c r="G28" s="31"/>
      <c r="H28" s="35"/>
    </row>
    <row r="29" spans="1:10" x14ac:dyDescent="0.35">
      <c r="A29" s="1" t="s">
        <v>18</v>
      </c>
      <c r="B29" s="36"/>
      <c r="C29" s="37"/>
      <c r="D29" s="37"/>
      <c r="E29" s="37"/>
      <c r="F29" s="37"/>
      <c r="G29" s="37"/>
      <c r="H29" s="35"/>
    </row>
    <row r="30" spans="1:10" ht="15" thickBot="1" x14ac:dyDescent="0.4">
      <c r="A30" s="10" t="s">
        <v>19</v>
      </c>
      <c r="B30" s="38"/>
      <c r="C30" s="39"/>
      <c r="D30" s="39"/>
      <c r="E30" s="39"/>
      <c r="F30" s="39"/>
      <c r="G30" s="39"/>
      <c r="H30" s="35"/>
    </row>
    <row r="31" spans="1:10" x14ac:dyDescent="0.35">
      <c r="A31" s="4" t="s">
        <v>16</v>
      </c>
      <c r="B31" s="30"/>
      <c r="C31" s="40"/>
      <c r="D31" s="40"/>
      <c r="E31" s="40"/>
      <c r="F31" s="40"/>
      <c r="G31" s="40"/>
      <c r="H31" s="67"/>
      <c r="I31" t="s">
        <v>34</v>
      </c>
      <c r="J31" s="28">
        <v>0.03</v>
      </c>
    </row>
    <row r="32" spans="1:10" ht="15" thickBot="1" x14ac:dyDescent="0.4">
      <c r="A32" s="15" t="s">
        <v>26</v>
      </c>
      <c r="B32" s="41"/>
      <c r="C32" s="41"/>
      <c r="D32" s="41"/>
      <c r="E32" s="41"/>
      <c r="F32" s="41"/>
      <c r="G32" s="39"/>
      <c r="H32" s="42"/>
    </row>
    <row r="33" spans="1:8" x14ac:dyDescent="0.35">
      <c r="A33" s="11" t="s">
        <v>27</v>
      </c>
      <c r="B33" s="43"/>
      <c r="C33" s="44"/>
      <c r="D33" s="44"/>
      <c r="E33" s="44"/>
      <c r="F33" s="44"/>
      <c r="G33" s="44"/>
      <c r="H33" s="42"/>
    </row>
    <row r="34" spans="1:8" x14ac:dyDescent="0.35">
      <c r="D34" s="56"/>
      <c r="E34" s="56"/>
      <c r="F34" s="56"/>
      <c r="G34" s="56"/>
    </row>
    <row r="35" spans="1:8" x14ac:dyDescent="0.35">
      <c r="A35" t="s">
        <v>24</v>
      </c>
      <c r="B35" s="58">
        <v>0.12</v>
      </c>
    </row>
    <row r="36" spans="1:8" x14ac:dyDescent="0.35">
      <c r="A36" s="11" t="s">
        <v>35</v>
      </c>
      <c r="B36" s="44"/>
      <c r="C36" s="12"/>
    </row>
    <row r="37" spans="1:8" x14ac:dyDescent="0.35">
      <c r="A37" s="24" t="s">
        <v>36</v>
      </c>
      <c r="B37" s="57"/>
      <c r="C37" s="72" t="s">
        <v>41</v>
      </c>
      <c r="D37" s="72"/>
    </row>
    <row r="38" spans="1:8" x14ac:dyDescent="0.35">
      <c r="A38" s="11" t="s">
        <v>37</v>
      </c>
      <c r="B38" s="44"/>
      <c r="C38" s="73" t="s">
        <v>42</v>
      </c>
      <c r="D38" s="73"/>
    </row>
  </sheetData>
  <mergeCells count="4">
    <mergeCell ref="I1:J1"/>
    <mergeCell ref="B12:G12"/>
    <mergeCell ref="C37:D37"/>
    <mergeCell ref="C38:D38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BE0DB-51CB-46DE-AE9B-7D5CB769491E}">
  <dimension ref="A1:C25"/>
  <sheetViews>
    <sheetView workbookViewId="0"/>
  </sheetViews>
  <sheetFormatPr defaultRowHeight="14.5" x14ac:dyDescent="0.35"/>
  <cols>
    <col min="1" max="2" width="36.6328125" customWidth="1"/>
  </cols>
  <sheetData>
    <row r="1" spans="1:3" x14ac:dyDescent="0.35">
      <c r="A1" s="11" t="s">
        <v>75</v>
      </c>
    </row>
    <row r="3" spans="1:3" x14ac:dyDescent="0.35">
      <c r="A3" t="s">
        <v>76</v>
      </c>
      <c r="B3" t="s">
        <v>77</v>
      </c>
      <c r="C3">
        <v>0</v>
      </c>
    </row>
    <row r="4" spans="1:3" x14ac:dyDescent="0.35">
      <c r="A4" t="s">
        <v>78</v>
      </c>
    </row>
    <row r="5" spans="1:3" x14ac:dyDescent="0.35">
      <c r="A5" t="s">
        <v>79</v>
      </c>
    </row>
    <row r="7" spans="1:3" x14ac:dyDescent="0.35">
      <c r="A7" s="11" t="s">
        <v>80</v>
      </c>
      <c r="B7" t="s">
        <v>81</v>
      </c>
    </row>
    <row r="8" spans="1:3" x14ac:dyDescent="0.35">
      <c r="B8">
        <v>0</v>
      </c>
    </row>
    <row r="10" spans="1:3" x14ac:dyDescent="0.35">
      <c r="A10" t="s">
        <v>82</v>
      </c>
    </row>
    <row r="13" spans="1:3" x14ac:dyDescent="0.35">
      <c r="A13" t="s">
        <v>83</v>
      </c>
    </row>
    <row r="16" spans="1:3" x14ac:dyDescent="0.35">
      <c r="A16" t="s">
        <v>84</v>
      </c>
    </row>
    <row r="19" spans="1:1" x14ac:dyDescent="0.35">
      <c r="A19" t="s">
        <v>85</v>
      </c>
    </row>
    <row r="25" spans="1:1" x14ac:dyDescent="0.35">
      <c r="A25" s="1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E3FCD-A1FD-43CF-830F-8AD51B83363A}">
  <dimension ref="A1:G7"/>
  <sheetViews>
    <sheetView workbookViewId="0">
      <selection activeCell="B2" sqref="B2"/>
    </sheetView>
  </sheetViews>
  <sheetFormatPr defaultRowHeight="14.5" x14ac:dyDescent="0.35"/>
  <cols>
    <col min="6" max="6" width="22" bestFit="1" customWidth="1"/>
  </cols>
  <sheetData>
    <row r="1" spans="1:7" x14ac:dyDescent="0.35">
      <c r="A1" s="74" t="s">
        <v>51</v>
      </c>
      <c r="B1" s="75" t="s">
        <v>52</v>
      </c>
      <c r="C1" s="75" t="s">
        <v>53</v>
      </c>
      <c r="F1" t="s">
        <v>54</v>
      </c>
      <c r="G1" s="76">
        <v>30</v>
      </c>
    </row>
    <row r="2" spans="1:7" x14ac:dyDescent="0.35">
      <c r="A2" s="77"/>
      <c r="B2" s="35"/>
      <c r="C2" s="35"/>
      <c r="F2" t="s">
        <v>55</v>
      </c>
      <c r="G2" s="76">
        <v>200</v>
      </c>
    </row>
    <row r="3" spans="1:7" x14ac:dyDescent="0.35">
      <c r="A3" s="77"/>
      <c r="B3" s="78"/>
      <c r="C3" s="35"/>
      <c r="F3" t="s">
        <v>56</v>
      </c>
    </row>
    <row r="4" spans="1:7" x14ac:dyDescent="0.35">
      <c r="A4" s="77"/>
      <c r="B4" s="6"/>
      <c r="C4" s="6"/>
    </row>
    <row r="5" spans="1:7" x14ac:dyDescent="0.35">
      <c r="A5" s="77"/>
      <c r="B5" s="6"/>
      <c r="C5" s="6"/>
    </row>
    <row r="6" spans="1:7" x14ac:dyDescent="0.35">
      <c r="A6" s="77"/>
      <c r="B6" s="78"/>
      <c r="C6" s="78"/>
    </row>
    <row r="7" spans="1:7" x14ac:dyDescent="0.35">
      <c r="A7" s="77"/>
      <c r="B7" s="6"/>
      <c r="C7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66D84-CA3E-4C12-AE60-4D69B3A3DF75}">
  <dimension ref="A1:G22"/>
  <sheetViews>
    <sheetView workbookViewId="0"/>
  </sheetViews>
  <sheetFormatPr defaultColWidth="9.08984375" defaultRowHeight="16" x14ac:dyDescent="0.4"/>
  <cols>
    <col min="1" max="1" width="16.90625" style="79" bestFit="1" customWidth="1"/>
    <col min="2" max="2" width="6.453125" style="79" bestFit="1" customWidth="1"/>
    <col min="3" max="3" width="7.90625" style="79" bestFit="1" customWidth="1"/>
    <col min="4" max="4" width="12.54296875" style="79" bestFit="1" customWidth="1"/>
    <col min="5" max="6" width="8.453125" style="84" bestFit="1" customWidth="1"/>
    <col min="7" max="7" width="9" style="84" bestFit="1" customWidth="1"/>
    <col min="8" max="98" width="6.81640625" style="79" bestFit="1" customWidth="1"/>
    <col min="99" max="998" width="7.81640625" style="79" bestFit="1" customWidth="1"/>
    <col min="999" max="999" width="8.90625" style="79" bestFit="1" customWidth="1"/>
    <col min="1000" max="16384" width="9.08984375" style="79"/>
  </cols>
  <sheetData>
    <row r="1" spans="1:7" x14ac:dyDescent="0.4">
      <c r="A1" s="79" t="s">
        <v>57</v>
      </c>
      <c r="B1" s="79" t="s">
        <v>58</v>
      </c>
      <c r="C1" s="80">
        <v>0.13</v>
      </c>
      <c r="E1" s="81" t="s">
        <v>59</v>
      </c>
      <c r="F1" s="81"/>
      <c r="G1" s="81"/>
    </row>
    <row r="2" spans="1:7" x14ac:dyDescent="0.4">
      <c r="A2" s="79" t="s">
        <v>60</v>
      </c>
      <c r="B2" s="79" t="s">
        <v>61</v>
      </c>
      <c r="C2" s="80">
        <v>-0.15</v>
      </c>
      <c r="E2" s="82">
        <v>0</v>
      </c>
      <c r="F2" s="82">
        <v>1</v>
      </c>
      <c r="G2" s="82">
        <v>2</v>
      </c>
    </row>
    <row r="3" spans="1:7" x14ac:dyDescent="0.4">
      <c r="E3" s="83"/>
      <c r="F3" s="83"/>
      <c r="G3" s="87"/>
    </row>
    <row r="4" spans="1:7" x14ac:dyDescent="0.4">
      <c r="A4" s="79" t="s">
        <v>62</v>
      </c>
      <c r="B4" s="79" t="s">
        <v>63</v>
      </c>
      <c r="C4" s="80">
        <v>0.4</v>
      </c>
      <c r="E4" s="83"/>
      <c r="F4" s="87"/>
      <c r="G4" s="83"/>
    </row>
    <row r="5" spans="1:7" x14ac:dyDescent="0.4">
      <c r="A5" s="79" t="s">
        <v>64</v>
      </c>
      <c r="B5" s="79" t="s">
        <v>65</v>
      </c>
      <c r="C5" s="80">
        <f>1-Pu</f>
        <v>0.6</v>
      </c>
      <c r="F5" s="83"/>
      <c r="G5" s="87"/>
    </row>
    <row r="6" spans="1:7" x14ac:dyDescent="0.4">
      <c r="E6" s="87">
        <v>500</v>
      </c>
    </row>
    <row r="7" spans="1:7" x14ac:dyDescent="0.4">
      <c r="A7" s="79" t="s">
        <v>66</v>
      </c>
      <c r="B7" s="79" t="s">
        <v>67</v>
      </c>
      <c r="C7" s="85">
        <v>45</v>
      </c>
      <c r="E7" s="83"/>
      <c r="G7" s="87"/>
    </row>
    <row r="8" spans="1:7" x14ac:dyDescent="0.4">
      <c r="A8" s="79" t="s">
        <v>68</v>
      </c>
      <c r="B8" s="79" t="s">
        <v>69</v>
      </c>
      <c r="C8" s="85">
        <v>450</v>
      </c>
      <c r="E8" s="83"/>
      <c r="F8" s="87"/>
      <c r="G8" s="83"/>
    </row>
    <row r="9" spans="1:7" x14ac:dyDescent="0.4">
      <c r="A9" s="79" t="s">
        <v>70</v>
      </c>
      <c r="B9" s="79" t="s">
        <v>24</v>
      </c>
      <c r="C9" s="86">
        <v>0.05</v>
      </c>
      <c r="E9" s="83"/>
      <c r="F9" s="83"/>
      <c r="G9" s="87"/>
    </row>
    <row r="11" spans="1:7" x14ac:dyDescent="0.4">
      <c r="A11" s="79" t="s">
        <v>71</v>
      </c>
      <c r="B11" s="87"/>
      <c r="E11" s="81" t="s">
        <v>72</v>
      </c>
      <c r="F11" s="81"/>
      <c r="G11" s="81"/>
    </row>
    <row r="12" spans="1:7" x14ac:dyDescent="0.4">
      <c r="C12" s="80"/>
      <c r="E12" s="82">
        <v>0</v>
      </c>
      <c r="F12" s="82">
        <v>1</v>
      </c>
      <c r="G12" s="82">
        <v>2</v>
      </c>
    </row>
    <row r="13" spans="1:7" x14ac:dyDescent="0.4">
      <c r="C13" s="80"/>
      <c r="E13" s="83"/>
      <c r="F13" s="83"/>
      <c r="G13" s="87"/>
    </row>
    <row r="14" spans="1:7" x14ac:dyDescent="0.4">
      <c r="E14" s="83"/>
      <c r="F14" s="87"/>
      <c r="G14" s="83"/>
    </row>
    <row r="15" spans="1:7" x14ac:dyDescent="0.4">
      <c r="E15" s="83"/>
      <c r="F15" s="87"/>
      <c r="G15" s="83"/>
    </row>
    <row r="16" spans="1:7" x14ac:dyDescent="0.4">
      <c r="F16" s="83"/>
      <c r="G16" s="87"/>
    </row>
    <row r="17" spans="4:7" x14ac:dyDescent="0.4">
      <c r="D17" s="79" t="s">
        <v>73</v>
      </c>
      <c r="E17" s="87"/>
      <c r="F17" s="83"/>
    </row>
    <row r="18" spans="4:7" x14ac:dyDescent="0.4">
      <c r="D18" s="79" t="s">
        <v>74</v>
      </c>
      <c r="E18" s="87"/>
    </row>
    <row r="19" spans="4:7" x14ac:dyDescent="0.4">
      <c r="G19" s="88"/>
    </row>
    <row r="20" spans="4:7" x14ac:dyDescent="0.4">
      <c r="E20" s="83"/>
      <c r="F20" s="87"/>
      <c r="G20" s="83"/>
    </row>
    <row r="21" spans="4:7" x14ac:dyDescent="0.4">
      <c r="F21" s="87"/>
    </row>
    <row r="22" spans="4:7" x14ac:dyDescent="0.4">
      <c r="G22" s="87"/>
    </row>
  </sheetData>
  <mergeCells count="2">
    <mergeCell ref="E1:G1"/>
    <mergeCell ref="E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Discounted Cash Flow Analysis</vt:lpstr>
      <vt:lpstr>Real Option - Simulation</vt:lpstr>
      <vt:lpstr>Real Option - Decision Tree</vt:lpstr>
      <vt:lpstr>d</vt:lpstr>
      <vt:lpstr>K</vt:lpstr>
      <vt:lpstr>L</vt:lpstr>
      <vt:lpstr>Pd</vt:lpstr>
      <vt:lpstr>Pu</vt:lpstr>
      <vt:lpstr>u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2024-02-25T22:02:44Z</dcterms:created>
  <dcterms:modified xsi:type="dcterms:W3CDTF">2024-03-27T23:27:21Z</dcterms:modified>
</cp:coreProperties>
</file>