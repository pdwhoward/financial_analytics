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ancial Analytics\Course\3 - Risk &amp; Return\4 - Exercises\2 - Case\"/>
    </mc:Choice>
  </mc:AlternateContent>
  <xr:revisionPtr revIDLastSave="0" documentId="13_ncr:1_{19317B97-1F33-42AE-9DF1-5DA95EEBF3DF}" xr6:coauthVersionLast="47" xr6:coauthVersionMax="47" xr10:uidLastSave="{00000000-0000-0000-0000-000000000000}"/>
  <bookViews>
    <workbookView xWindow="19090" yWindow="-110" windowWidth="19420" windowHeight="11020" xr2:uid="{00000000-000D-0000-FFFF-FFFF00000000}"/>
  </bookViews>
  <sheets>
    <sheet name="VaR" sheetId="2" r:id="rId1"/>
    <sheet name="International Diversification" sheetId="3" r:id="rId2"/>
    <sheet name="Investment Weights" sheetId="4" r:id="rId3"/>
    <sheet name="Statistical Arbitrage" sheetId="5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44244.1311921296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Rf">'Statistical Arbitrage'!$N$2</definedName>
    <definedName name="Rm">'Statistical Arbitrage'!$B$2:$B$121</definedName>
    <definedName name="solver_adj" localSheetId="1" hidden="1">'International Diversification'!$M$5:$S$5</definedName>
    <definedName name="solver_adj" localSheetId="3" hidden="1">'Statistical Arbitrage'!$J$5:$K$5</definedName>
    <definedName name="solver_adj" localSheetId="0" hidden="1">VaR!$F$4:$G$4</definedName>
    <definedName name="solver_cvg" localSheetId="1" hidden="1">0.0001</definedName>
    <definedName name="solver_cvg" localSheetId="3" hidden="1">0.0001</definedName>
    <definedName name="solver_cvg" localSheetId="0" hidden="1">0.0001</definedName>
    <definedName name="solver_drv" localSheetId="1" hidden="1">1</definedName>
    <definedName name="solver_drv" localSheetId="3" hidden="1">1</definedName>
    <definedName name="solver_drv" localSheetId="0" hidden="1">2</definedName>
    <definedName name="solver_eng" localSheetId="1" hidden="1">1</definedName>
    <definedName name="solver_eng" localSheetId="3" hidden="1">1</definedName>
    <definedName name="solver_eng" localSheetId="0" hidden="1">1</definedName>
    <definedName name="solver_est" localSheetId="1" hidden="1">1</definedName>
    <definedName name="solver_est" localSheetId="3" hidden="1">1</definedName>
    <definedName name="solver_est" localSheetId="0" hidden="1">1</definedName>
    <definedName name="solver_itr" localSheetId="1" hidden="1">2147483647</definedName>
    <definedName name="solver_itr" localSheetId="3" hidden="1">2147483647</definedName>
    <definedName name="solver_itr" localSheetId="0" hidden="1">2147483647</definedName>
    <definedName name="solver_lhs1" localSheetId="1" hidden="1">'International Diversification'!$M$5:$S$5</definedName>
    <definedName name="solver_lhs1" localSheetId="3" hidden="1">'Statistical Arbitrage'!$L$3</definedName>
    <definedName name="solver_lhs1" localSheetId="0" hidden="1">VaR!$F$4:$G$4</definedName>
    <definedName name="solver_lhs2" localSheetId="1" hidden="1">'International Diversification'!$T$5</definedName>
    <definedName name="solver_lhs2" localSheetId="3" hidden="1">'Statistical Arbitrage'!$L$5</definedName>
    <definedName name="solver_lhs2" localSheetId="0" hidden="1">VaR!$F$8</definedName>
    <definedName name="solver_lhs3" localSheetId="1" hidden="1">'International Diversification'!$T$5</definedName>
    <definedName name="solver_lhs3" localSheetId="3" hidden="1">'Statistical Arbitrage'!$L$5</definedName>
    <definedName name="solver_lhs3" localSheetId="0" hidden="1">VaR!$H$4</definedName>
    <definedName name="solver_lhs4" localSheetId="3" hidden="1">'Statistical Arbitrage'!$L$5</definedName>
    <definedName name="solver_lhs4" localSheetId="0" hidden="1">VaR!$F$4</definedName>
    <definedName name="solver_lhs5" localSheetId="3" hidden="1">'Statistical Arbitrage'!$L$5</definedName>
    <definedName name="solver_mip" localSheetId="1" hidden="1">2147483647</definedName>
    <definedName name="solver_mip" localSheetId="3" hidden="1">2147483647</definedName>
    <definedName name="solver_mip" localSheetId="0" hidden="1">2147483647</definedName>
    <definedName name="solver_mni" localSheetId="1" hidden="1">30</definedName>
    <definedName name="solver_mni" localSheetId="3" hidden="1">30</definedName>
    <definedName name="solver_mni" localSheetId="0" hidden="1">30</definedName>
    <definedName name="solver_mrt" localSheetId="1" hidden="1">0.075</definedName>
    <definedName name="solver_mrt" localSheetId="3" hidden="1">0.075</definedName>
    <definedName name="solver_mrt" localSheetId="0" hidden="1">0.075</definedName>
    <definedName name="solver_msl" localSheetId="1" hidden="1">2</definedName>
    <definedName name="solver_msl" localSheetId="3" hidden="1">2</definedName>
    <definedName name="solver_msl" localSheetId="0" hidden="1">1</definedName>
    <definedName name="solver_neg" localSheetId="1" hidden="1">2</definedName>
    <definedName name="solver_neg" localSheetId="3" hidden="1">2</definedName>
    <definedName name="solver_neg" localSheetId="0" hidden="1">2</definedName>
    <definedName name="solver_nod" localSheetId="1" hidden="1">2147483647</definedName>
    <definedName name="solver_nod" localSheetId="3" hidden="1">2147483647</definedName>
    <definedName name="solver_nod" localSheetId="0" hidden="1">2147483647</definedName>
    <definedName name="solver_num" localSheetId="1" hidden="1">2</definedName>
    <definedName name="solver_num" localSheetId="3" hidden="1">2</definedName>
    <definedName name="solver_num" localSheetId="0" hidden="1">3</definedName>
    <definedName name="solver_nwt" localSheetId="1" hidden="1">1</definedName>
    <definedName name="solver_nwt" localSheetId="3" hidden="1">1</definedName>
    <definedName name="solver_nwt" localSheetId="0" hidden="1">1</definedName>
    <definedName name="solver_opt" localSheetId="1" hidden="1">'International Diversification'!$T$4</definedName>
    <definedName name="solver_opt" localSheetId="3" hidden="1">'Statistical Arbitrage'!$L$2</definedName>
    <definedName name="solver_opt" localSheetId="0" hidden="1">VaR!$H$2</definedName>
    <definedName name="solver_pre" localSheetId="1" hidden="1">0.000001</definedName>
    <definedName name="solver_pre" localSheetId="3" hidden="1">0.000001</definedName>
    <definedName name="solver_pre" localSheetId="0" hidden="1">0.000001</definedName>
    <definedName name="solver_rbv" localSheetId="1" hidden="1">1</definedName>
    <definedName name="solver_rbv" localSheetId="3" hidden="1">1</definedName>
    <definedName name="solver_rbv" localSheetId="0" hidden="1">2</definedName>
    <definedName name="solver_rel1" localSheetId="1" hidden="1">3</definedName>
    <definedName name="solver_rel1" localSheetId="3" hidden="1">2</definedName>
    <definedName name="solver_rel1" localSheetId="0" hidden="1">3</definedName>
    <definedName name="solver_rel2" localSheetId="1" hidden="1">2</definedName>
    <definedName name="solver_rel2" localSheetId="3" hidden="1">2</definedName>
    <definedName name="solver_rel2" localSheetId="0" hidden="1">1</definedName>
    <definedName name="solver_rel3" localSheetId="1" hidden="1">2</definedName>
    <definedName name="solver_rel3" localSheetId="3" hidden="1">2</definedName>
    <definedName name="solver_rel3" localSheetId="0" hidden="1">2</definedName>
    <definedName name="solver_rel4" localSheetId="3" hidden="1">2</definedName>
    <definedName name="solver_rel4" localSheetId="0" hidden="1">3</definedName>
    <definedName name="solver_rel5" localSheetId="3" hidden="1">2</definedName>
    <definedName name="solver_rhs1" localSheetId="1" hidden="1">0</definedName>
    <definedName name="solver_rhs1" localSheetId="3" hidden="1">0</definedName>
    <definedName name="solver_rhs1" localSheetId="0" hidden="1">0</definedName>
    <definedName name="solver_rhs2" localSheetId="1" hidden="1">1</definedName>
    <definedName name="solver_rhs2" localSheetId="3" hidden="1">1</definedName>
    <definedName name="solver_rhs2" localSheetId="0" hidden="1">8000</definedName>
    <definedName name="solver_rhs3" localSheetId="1" hidden="1">1</definedName>
    <definedName name="solver_rhs3" localSheetId="3" hidden="1">1</definedName>
    <definedName name="solver_rhs3" localSheetId="0" hidden="1">1</definedName>
    <definedName name="solver_rhs4" localSheetId="3" hidden="1">1</definedName>
    <definedName name="solver_rhs4" localSheetId="0" hidden="1">0</definedName>
    <definedName name="solver_rhs5" localSheetId="3" hidden="1">0</definedName>
    <definedName name="solver_rlx" localSheetId="1" hidden="1">2</definedName>
    <definedName name="solver_rlx" localSheetId="3" hidden="1">2</definedName>
    <definedName name="solver_rlx" localSheetId="0" hidden="1">2</definedName>
    <definedName name="solver_rsd" localSheetId="1" hidden="1">0</definedName>
    <definedName name="solver_rsd" localSheetId="3" hidden="1">0</definedName>
    <definedName name="solver_rsd" localSheetId="0" hidden="1">0</definedName>
    <definedName name="solver_scl" localSheetId="1" hidden="1">1</definedName>
    <definedName name="solver_scl" localSheetId="3" hidden="1">1</definedName>
    <definedName name="solver_scl" localSheetId="0" hidden="1">2</definedName>
    <definedName name="solver_sho" localSheetId="1" hidden="1">2</definedName>
    <definedName name="solver_sho" localSheetId="3" hidden="1">2</definedName>
    <definedName name="solver_sho" localSheetId="0" hidden="1">2</definedName>
    <definedName name="solver_ssz" localSheetId="1" hidden="1">100</definedName>
    <definedName name="solver_ssz" localSheetId="3" hidden="1">100</definedName>
    <definedName name="solver_ssz" localSheetId="0" hidden="1">100</definedName>
    <definedName name="solver_tim" localSheetId="1" hidden="1">2147483647</definedName>
    <definedName name="solver_tim" localSheetId="3" hidden="1">2147483647</definedName>
    <definedName name="solver_tim" localSheetId="0" hidden="1">2147483647</definedName>
    <definedName name="solver_tol" localSheetId="1" hidden="1">0.01</definedName>
    <definedName name="solver_tol" localSheetId="3" hidden="1">0.01</definedName>
    <definedName name="solver_tol" localSheetId="0" hidden="1">0.01</definedName>
    <definedName name="solver_typ" localSheetId="1" hidden="1">1</definedName>
    <definedName name="solver_typ" localSheetId="3" hidden="1">1</definedName>
    <definedName name="solver_typ" localSheetId="0" hidden="1">1</definedName>
    <definedName name="solver_val" localSheetId="1" hidden="1">0</definedName>
    <definedName name="solver_val" localSheetId="3" hidden="1">0</definedName>
    <definedName name="solver_val" localSheetId="0" hidden="1">0</definedName>
    <definedName name="solver_ver" localSheetId="1" hidden="1">3</definedName>
    <definedName name="solver_ver" localSheetId="3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F8" i="2"/>
  <c r="K3" i="5"/>
  <c r="J5" i="5" s="1"/>
  <c r="J3" i="5"/>
  <c r="I3" i="5"/>
  <c r="K2" i="5"/>
  <c r="K4" i="5" s="1"/>
  <c r="J2" i="5"/>
  <c r="J4" i="5" s="1"/>
  <c r="I2" i="5"/>
  <c r="I4" i="5" s="1"/>
  <c r="E73" i="5" l="1"/>
  <c r="E65" i="5"/>
  <c r="E9" i="5"/>
  <c r="E120" i="5"/>
  <c r="E72" i="5"/>
  <c r="E64" i="5"/>
  <c r="E56" i="5"/>
  <c r="E8" i="5"/>
  <c r="E3" i="5"/>
  <c r="E118" i="5"/>
  <c r="E70" i="5"/>
  <c r="E62" i="5"/>
  <c r="E54" i="5"/>
  <c r="E6" i="5"/>
  <c r="E119" i="5"/>
  <c r="E111" i="5"/>
  <c r="E63" i="5"/>
  <c r="E55" i="5"/>
  <c r="E47" i="5"/>
  <c r="E109" i="5"/>
  <c r="E93" i="5"/>
  <c r="E77" i="5"/>
  <c r="E117" i="5"/>
  <c r="E101" i="5"/>
  <c r="E85" i="5"/>
  <c r="E116" i="5"/>
  <c r="E108" i="5"/>
  <c r="E100" i="5"/>
  <c r="E44" i="5"/>
  <c r="E36" i="5"/>
  <c r="E28" i="5"/>
  <c r="E35" i="5"/>
  <c r="E19" i="5"/>
  <c r="E2" i="5"/>
  <c r="E74" i="5"/>
  <c r="E66" i="5"/>
  <c r="E58" i="5"/>
  <c r="E10" i="5"/>
  <c r="E5" i="5"/>
  <c r="E68" i="5"/>
  <c r="K5" i="5"/>
  <c r="E121" i="5" s="1"/>
  <c r="E75" i="5"/>
  <c r="E59" i="5"/>
  <c r="E43" i="5"/>
  <c r="E27" i="5"/>
  <c r="E11" i="5"/>
  <c r="L3" i="5" l="1"/>
  <c r="E17" i="5"/>
  <c r="E81" i="5"/>
  <c r="E83" i="5"/>
  <c r="E18" i="5"/>
  <c r="E82" i="5"/>
  <c r="E51" i="5"/>
  <c r="E52" i="5"/>
  <c r="L5" i="5"/>
  <c r="E4" i="5"/>
  <c r="E7" i="5"/>
  <c r="E71" i="5"/>
  <c r="E14" i="5"/>
  <c r="E78" i="5"/>
  <c r="E16" i="5"/>
  <c r="E80" i="5"/>
  <c r="E25" i="5"/>
  <c r="E89" i="5"/>
  <c r="E91" i="5"/>
  <c r="E26" i="5"/>
  <c r="E90" i="5"/>
  <c r="E67" i="5"/>
  <c r="E60" i="5"/>
  <c r="E21" i="5"/>
  <c r="E13" i="5"/>
  <c r="L2" i="5" s="1"/>
  <c r="L4" i="5" s="1"/>
  <c r="E15" i="5"/>
  <c r="E79" i="5"/>
  <c r="E22" i="5"/>
  <c r="E86" i="5"/>
  <c r="E24" i="5"/>
  <c r="E88" i="5"/>
  <c r="E33" i="5"/>
  <c r="E97" i="5"/>
  <c r="E99" i="5"/>
  <c r="E34" i="5"/>
  <c r="E98" i="5"/>
  <c r="E107" i="5"/>
  <c r="E76" i="5"/>
  <c r="E37" i="5"/>
  <c r="E29" i="5"/>
  <c r="E23" i="5"/>
  <c r="E87" i="5"/>
  <c r="E30" i="5"/>
  <c r="E94" i="5"/>
  <c r="E32" i="5"/>
  <c r="E96" i="5"/>
  <c r="E41" i="5"/>
  <c r="E105" i="5"/>
  <c r="E115" i="5"/>
  <c r="E42" i="5"/>
  <c r="E106" i="5"/>
  <c r="E12" i="5"/>
  <c r="E84" i="5"/>
  <c r="E53" i="5"/>
  <c r="E45" i="5"/>
  <c r="E31" i="5"/>
  <c r="E95" i="5"/>
  <c r="E38" i="5"/>
  <c r="E102" i="5"/>
  <c r="E40" i="5"/>
  <c r="E104" i="5"/>
  <c r="E49" i="5"/>
  <c r="E113" i="5"/>
  <c r="E50" i="5"/>
  <c r="E114" i="5"/>
  <c r="E20" i="5"/>
  <c r="E92" i="5"/>
  <c r="E69" i="5"/>
  <c r="E61" i="5"/>
  <c r="E39" i="5"/>
  <c r="E103" i="5"/>
  <c r="E46" i="5"/>
  <c r="E110" i="5"/>
  <c r="E48" i="5"/>
  <c r="E112" i="5"/>
  <c r="E57" i="5"/>
  <c r="I445" i="3" l="1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T5" i="3"/>
  <c r="I5" i="3"/>
  <c r="I4" i="3"/>
  <c r="S3" i="3"/>
  <c r="R3" i="3"/>
  <c r="Q3" i="3"/>
  <c r="P3" i="3"/>
  <c r="P4" i="3" s="1"/>
  <c r="O3" i="3"/>
  <c r="N3" i="3"/>
  <c r="M3" i="3"/>
  <c r="I3" i="3"/>
  <c r="S2" i="3"/>
  <c r="S4" i="3" s="1"/>
  <c r="R2" i="3"/>
  <c r="R4" i="3" s="1"/>
  <c r="Q2" i="3"/>
  <c r="P2" i="3"/>
  <c r="O2" i="3"/>
  <c r="O4" i="3" s="1"/>
  <c r="N2" i="3"/>
  <c r="M2" i="3"/>
  <c r="V2" i="3"/>
  <c r="I2" i="3"/>
  <c r="Q4" i="3" l="1"/>
  <c r="M4" i="3"/>
  <c r="N4" i="3"/>
  <c r="T3" i="3"/>
  <c r="T2" i="3"/>
  <c r="T4" i="3" s="1"/>
  <c r="C251" i="2" l="1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H4" i="2"/>
  <c r="C4" i="2"/>
  <c r="G3" i="2"/>
  <c r="F3" i="2"/>
  <c r="C3" i="2"/>
  <c r="G2" i="2"/>
  <c r="F2" i="2"/>
  <c r="C2" i="2"/>
  <c r="H2" i="2" l="1"/>
  <c r="H3" i="2"/>
</calcChain>
</file>

<file path=xl/sharedStrings.xml><?xml version="1.0" encoding="utf-8"?>
<sst xmlns="http://schemas.openxmlformats.org/spreadsheetml/2006/main" count="63" uniqueCount="33">
  <si>
    <t>Apple</t>
  </si>
  <si>
    <t>Google</t>
  </si>
  <si>
    <t>Portfolio</t>
  </si>
  <si>
    <t>Mean</t>
  </si>
  <si>
    <t>Std Dev</t>
  </si>
  <si>
    <t>Weights</t>
  </si>
  <si>
    <t>Nominal</t>
  </si>
  <si>
    <t>5% VaR</t>
  </si>
  <si>
    <t>Date</t>
  </si>
  <si>
    <t>US</t>
  </si>
  <si>
    <t>UK</t>
  </si>
  <si>
    <t>Canada</t>
  </si>
  <si>
    <t>France</t>
  </si>
  <si>
    <t>Germany</t>
  </si>
  <si>
    <t>Italy</t>
  </si>
  <si>
    <t>Japan</t>
  </si>
  <si>
    <t>Risk-free Rate</t>
  </si>
  <si>
    <t>Avg</t>
  </si>
  <si>
    <t>SD</t>
  </si>
  <si>
    <t>Sharpe</t>
  </si>
  <si>
    <t>Weight</t>
  </si>
  <si>
    <t>Correlation</t>
  </si>
  <si>
    <t>Market Return</t>
  </si>
  <si>
    <t>Apple's Return</t>
  </si>
  <si>
    <t>Avis's Return</t>
  </si>
  <si>
    <t>Portfolio's Return</t>
  </si>
  <si>
    <t>Market</t>
  </si>
  <si>
    <t>Avis</t>
  </si>
  <si>
    <t>Rf</t>
  </si>
  <si>
    <t>Risk Premium</t>
  </si>
  <si>
    <t>beta</t>
  </si>
  <si>
    <t>alpha</t>
  </si>
  <si>
    <t>10%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</si>
</sst>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"/>
    <numFmt numFmtId="165" formatCode="mm/yy"/>
    <numFmt numFmtId="166" formatCode="0.0%"/>
    <numFmt numFmtId="167" formatCode="0.0"/>
    <numFmt numFmtId="168" formatCode="0.000%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2"/>
    <xf numFmtId="0" fontId="2" fillId="0" borderId="0" xfId="2" applyFont="1"/>
    <xf numFmtId="2" fontId="2" fillId="0" borderId="0" xfId="2" applyNumberFormat="1" applyFont="1"/>
    <xf numFmtId="2" fontId="1" fillId="0" borderId="0" xfId="2" applyNumberFormat="1"/>
    <xf numFmtId="165" fontId="2" fillId="0" borderId="0" xfId="2" applyNumberFormat="1" applyFont="1" applyAlignment="1">
      <alignment horizontal="center"/>
    </xf>
    <xf numFmtId="166" fontId="2" fillId="0" borderId="0" xfId="1" applyNumberFormat="1" applyFont="1" applyAlignment="1">
      <alignment horizontal="center"/>
    </xf>
    <xf numFmtId="167" fontId="2" fillId="0" borderId="0" xfId="2" applyNumberFormat="1" applyFont="1" applyAlignment="1">
      <alignment horizontal="center"/>
    </xf>
    <xf numFmtId="165" fontId="1" fillId="0" borderId="0" xfId="2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2" borderId="0" xfId="1" applyNumberFormat="1" applyFont="1" applyFill="1" applyAlignment="1">
      <alignment horizontal="center"/>
    </xf>
    <xf numFmtId="2" fontId="1" fillId="2" borderId="0" xfId="2" applyNumberFormat="1" applyFill="1" applyAlignment="1">
      <alignment horizontal="center"/>
    </xf>
    <xf numFmtId="9" fontId="0" fillId="2" borderId="0" xfId="1" applyFont="1" applyFill="1" applyAlignment="1">
      <alignment horizontal="center"/>
    </xf>
    <xf numFmtId="0" fontId="1" fillId="0" borderId="0" xfId="2" applyAlignment="1">
      <alignment horizontal="center"/>
    </xf>
    <xf numFmtId="2" fontId="0" fillId="0" borderId="0" xfId="1" applyNumberFormat="1" applyFont="1" applyAlignment="1">
      <alignment horizontal="center"/>
    </xf>
    <xf numFmtId="0" fontId="2" fillId="0" borderId="0" xfId="2" applyFont="1" applyAlignment="1">
      <alignment horizontal="center"/>
    </xf>
    <xf numFmtId="9" fontId="0" fillId="0" borderId="0" xfId="4" applyFont="1" applyAlignment="1">
      <alignment horizontal="center"/>
    </xf>
    <xf numFmtId="10" fontId="1" fillId="0" borderId="0" xfId="2" applyNumberFormat="1" applyAlignment="1">
      <alignment horizontal="center"/>
    </xf>
    <xf numFmtId="9" fontId="0" fillId="0" borderId="0" xfId="1" applyFont="1" applyAlignment="1">
      <alignment horizontal="center"/>
    </xf>
    <xf numFmtId="168" fontId="0" fillId="0" borderId="0" xfId="1" applyNumberFormat="1" applyFont="1" applyAlignment="1">
      <alignment horizontal="center"/>
    </xf>
    <xf numFmtId="0" fontId="1" fillId="0" borderId="0" xfId="2" quotePrefix="1" applyAlignment="1">
      <alignment horizontal="center"/>
    </xf>
    <xf numFmtId="167" fontId="2" fillId="0" borderId="0" xfId="2" applyNumberFormat="1" applyFont="1"/>
    <xf numFmtId="1" fontId="1" fillId="0" borderId="0" xfId="2" applyNumberFormat="1"/>
    <xf numFmtId="10" fontId="0" fillId="2" borderId="0" xfId="1" applyNumberFormat="1" applyFont="1" applyFill="1" applyAlignment="1">
      <alignment horizontal="center"/>
    </xf>
    <xf numFmtId="9" fontId="2" fillId="0" borderId="0" xfId="1" applyFont="1" applyAlignment="1">
      <alignment horizontal="center"/>
    </xf>
    <xf numFmtId="9" fontId="1" fillId="2" borderId="0" xfId="1" applyFont="1" applyFill="1" applyAlignment="1">
      <alignment horizontal="center"/>
    </xf>
    <xf numFmtId="9" fontId="1" fillId="2" borderId="0" xfId="2" applyNumberFormat="1" applyFill="1" applyAlignment="1">
      <alignment horizontal="center"/>
    </xf>
    <xf numFmtId="164" fontId="1" fillId="0" borderId="0" xfId="2" applyNumberFormat="1" applyAlignment="1">
      <alignment horizontal="center"/>
    </xf>
    <xf numFmtId="164" fontId="1" fillId="2" borderId="0" xfId="3" applyNumberFormat="1" applyFont="1" applyFill="1" applyAlignment="1">
      <alignment horizontal="center"/>
    </xf>
    <xf numFmtId="9" fontId="1" fillId="0" borderId="0" xfId="1" applyFont="1" applyAlignment="1">
      <alignment horizontal="center"/>
    </xf>
    <xf numFmtId="0" fontId="2" fillId="0" borderId="0" xfId="2" applyFont="1" applyAlignment="1">
      <alignment horizontal="right"/>
    </xf>
    <xf numFmtId="0" fontId="1" fillId="0" borderId="0" xfId="2" applyAlignment="1">
      <alignment horizontal="right"/>
    </xf>
    <xf numFmtId="10" fontId="0" fillId="0" borderId="0" xfId="1" applyNumberFormat="1" applyFont="1" applyAlignment="1">
      <alignment horizontal="center"/>
    </xf>
    <xf numFmtId="0" fontId="1" fillId="0" borderId="0" xfId="2" applyAlignment="1"/>
  </cellXfs>
  <cellStyles count="5">
    <cellStyle name="Currency 2" xfId="3" xr:uid="{8F398FEC-86F5-454E-B75F-2D897BAFC42A}"/>
    <cellStyle name="Normal" xfId="0" builtinId="0"/>
    <cellStyle name="Normal 2" xfId="2" xr:uid="{59E3658D-7C92-4C3E-96B8-6472B9F2B2BC}"/>
    <cellStyle name="Percent 2" xfId="1" xr:uid="{0D7628AB-B3F6-436E-80FE-DB0C779C1AB7}"/>
    <cellStyle name="Percent 2 2" xfId="4" xr:uid="{0914830D-49E9-4E64-B80B-30CFE7341F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Investment Weights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rgbClr val="0070C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C5D-434B-AE47-0880EE287B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B9050A5-ADEC-4A1C-9F04-E074506B6A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C5D-434B-AE47-0880EE287BB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450CC99-38F2-4C5E-85A1-E4A3B7C42D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C5D-434B-AE47-0880EE287BB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B30249B-0641-4CC5-9C50-57E457505D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C5D-434B-AE47-0880EE287BB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F06E1B2-7B1E-48BF-8EB7-4756D35AE3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C5D-434B-AE47-0880EE287BB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2FF0C16-257E-42FA-AE06-830785E1B2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C5D-434B-AE47-0880EE287BB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B962718-0126-4AAA-961B-715753A57E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C5D-434B-AE47-0880EE287BB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20FD90D-FB6A-40C6-960B-3A2E8AD1E4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C5D-434B-AE47-0880EE287B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'International Diversification'!$M$4:$S$4</c:f>
              <c:numCache>
                <c:formatCode>0.00</c:formatCode>
                <c:ptCount val="7"/>
                <c:pt idx="0">
                  <c:v>0.20894719667068823</c:v>
                </c:pt>
                <c:pt idx="1">
                  <c:v>0.20578345304873435</c:v>
                </c:pt>
                <c:pt idx="2">
                  <c:v>0.16565004170244921</c:v>
                </c:pt>
                <c:pt idx="3">
                  <c:v>0.17336874638954408</c:v>
                </c:pt>
                <c:pt idx="4">
                  <c:v>0.1627364886945028</c:v>
                </c:pt>
                <c:pt idx="5">
                  <c:v>0.13251698652996854</c:v>
                </c:pt>
                <c:pt idx="6">
                  <c:v>0.12249365532919934</c:v>
                </c:pt>
              </c:numCache>
            </c:numRef>
          </c:xVal>
          <c:yVal>
            <c:numRef>
              <c:f>'International Diversification'!$M$5:$S$5</c:f>
              <c:numCache>
                <c:formatCode>0%</c:formatCode>
                <c:ptCount val="7"/>
                <c:pt idx="0">
                  <c:v>0.5043487824676528</c:v>
                </c:pt>
                <c:pt idx="1">
                  <c:v>0.3509608034839457</c:v>
                </c:pt>
                <c:pt idx="2">
                  <c:v>0</c:v>
                </c:pt>
                <c:pt idx="3">
                  <c:v>6.0057985123090477E-2</c:v>
                </c:pt>
                <c:pt idx="4">
                  <c:v>7.0173434206809299E-3</c:v>
                </c:pt>
                <c:pt idx="5">
                  <c:v>0</c:v>
                </c:pt>
                <c:pt idx="6">
                  <c:v>7.7615085504629852E-2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'International Diversification'!$M$1:$S$1</c15:f>
                <c15:dlblRangeCache>
                  <c:ptCount val="7"/>
                  <c:pt idx="0">
                    <c:v>US</c:v>
                  </c:pt>
                  <c:pt idx="1">
                    <c:v>UK</c:v>
                  </c:pt>
                  <c:pt idx="2">
                    <c:v>Canada</c:v>
                  </c:pt>
                  <c:pt idx="3">
                    <c:v>France</c:v>
                  </c:pt>
                  <c:pt idx="4">
                    <c:v>Germany</c:v>
                  </c:pt>
                  <c:pt idx="5">
                    <c:v>Italy</c:v>
                  </c:pt>
                  <c:pt idx="6">
                    <c:v>Japan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3C5D-434B-AE47-0880EE287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263312"/>
        <c:axId val="445264624"/>
      </c:scatterChart>
      <c:valAx>
        <c:axId val="445263312"/>
        <c:scaling>
          <c:orientation val="minMax"/>
          <c:min val="0.12000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Sharpe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64624"/>
        <c:crosses val="autoZero"/>
        <c:crossBetween val="midCat"/>
      </c:valAx>
      <c:valAx>
        <c:axId val="445264624"/>
        <c:scaling>
          <c:orientation val="minMax"/>
          <c:max val="0.55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Investment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6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F7A9C9-9581-4567-AB2B-A3C59DE1091C}">
  <sheetPr/>
  <sheetViews>
    <sheetView zoomScale="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5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4CCEF5-1498-4941-CFFA-D0E7BF1907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82DB-CCB6-436D-87B0-B102F824E0F6}">
  <dimension ref="A1:R251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10.08984375" defaultRowHeight="15.5" x14ac:dyDescent="0.35"/>
  <cols>
    <col min="1" max="1" width="5.90625" style="29" bestFit="1" customWidth="1"/>
    <col min="2" max="2" width="7" style="29" bestFit="1" customWidth="1"/>
    <col min="3" max="3" width="8.6328125" style="29" bestFit="1" customWidth="1"/>
    <col min="4" max="4" width="10.08984375" style="1"/>
    <col min="5" max="5" width="8.36328125" style="31" bestFit="1" customWidth="1"/>
    <col min="6" max="8" width="10.6328125" style="13" customWidth="1"/>
    <col min="9" max="9" width="10.08984375" style="1"/>
    <col min="10" max="15" width="10.08984375" style="4"/>
    <col min="16" max="16" width="10.08984375" style="1"/>
    <col min="17" max="18" width="10.08984375" style="4"/>
    <col min="19" max="16384" width="10.08984375" style="1"/>
  </cols>
  <sheetData>
    <row r="1" spans="1:18" s="2" customFormat="1" x14ac:dyDescent="0.35">
      <c r="A1" s="24" t="s">
        <v>0</v>
      </c>
      <c r="B1" s="24" t="s">
        <v>1</v>
      </c>
      <c r="C1" s="24" t="s">
        <v>2</v>
      </c>
      <c r="D1" s="1"/>
      <c r="E1" s="30"/>
      <c r="F1" s="24" t="s">
        <v>0</v>
      </c>
      <c r="G1" s="24" t="s">
        <v>1</v>
      </c>
      <c r="H1" s="24" t="s">
        <v>2</v>
      </c>
      <c r="J1" s="3"/>
      <c r="K1" s="3"/>
      <c r="L1" s="3"/>
      <c r="M1" s="3"/>
      <c r="N1" s="3"/>
      <c r="O1" s="3"/>
      <c r="Q1" s="3"/>
      <c r="R1" s="3"/>
    </row>
    <row r="2" spans="1:18" x14ac:dyDescent="0.35">
      <c r="A2" s="29">
        <v>-0.10222161572788008</v>
      </c>
      <c r="B2" s="29">
        <v>0.11200930801514192</v>
      </c>
      <c r="C2" s="25">
        <f>SUMPRODUCT(A2:B2,$F$4:$G$4)</f>
        <v>-6.8537394533058613E-2</v>
      </c>
      <c r="E2" s="31" t="s">
        <v>3</v>
      </c>
      <c r="F2" s="25">
        <f>AVERAGE(A2:A251)</f>
        <v>9.0000000000000024E-2</v>
      </c>
      <c r="G2" s="25">
        <f>AVERAGE(B2:B251)</f>
        <v>4.9999999999999982E-2</v>
      </c>
      <c r="H2" s="25">
        <f>AVERAGE(C2:C251)</f>
        <v>8.3710670596701175E-2</v>
      </c>
    </row>
    <row r="3" spans="1:18" x14ac:dyDescent="0.35">
      <c r="A3" s="29">
        <v>0.16984244617628563</v>
      </c>
      <c r="B3" s="29">
        <v>1.3251636256178548E-2</v>
      </c>
      <c r="C3" s="25">
        <f t="shared" ref="C3:C66" si="0">SUMPRODUCT(A3:B3,$F$4:$G$4)</f>
        <v>0.14522116654836295</v>
      </c>
      <c r="E3" s="31" t="s">
        <v>4</v>
      </c>
      <c r="F3" s="25">
        <f>_xlfn.STDEV.S(A2:A251)</f>
        <v>0.15999999999999998</v>
      </c>
      <c r="G3" s="25">
        <f>_xlfn.STDEV.S(B2:B251)</f>
        <v>0.10402597548419314</v>
      </c>
      <c r="H3" s="25">
        <f>_xlfn.STDEV.S(C2:C251)</f>
        <v>0.12774411502328389</v>
      </c>
    </row>
    <row r="4" spans="1:18" x14ac:dyDescent="0.35">
      <c r="A4" s="29">
        <v>0.32338589576938681</v>
      </c>
      <c r="B4" s="29">
        <v>5.9086958978319143E-2</v>
      </c>
      <c r="C4" s="25">
        <f t="shared" si="0"/>
        <v>0.28182931890886975</v>
      </c>
      <c r="E4" s="31" t="s">
        <v>5</v>
      </c>
      <c r="F4" s="25">
        <v>0.84276676491752922</v>
      </c>
      <c r="G4" s="25">
        <v>0.15723323508247089</v>
      </c>
      <c r="H4" s="26">
        <f>SUM(F4:G4)</f>
        <v>1</v>
      </c>
    </row>
    <row r="5" spans="1:18" x14ac:dyDescent="0.35">
      <c r="A5" s="29">
        <v>-0.31212131083086547</v>
      </c>
      <c r="B5" s="29">
        <v>0.30561608229584858</v>
      </c>
      <c r="C5" s="25">
        <f t="shared" si="0"/>
        <v>-0.21499246207814016</v>
      </c>
      <c r="F5" s="15"/>
      <c r="G5" s="15"/>
      <c r="H5" s="15"/>
    </row>
    <row r="6" spans="1:18" x14ac:dyDescent="0.35">
      <c r="A6" s="29">
        <v>7.4329442334684331E-2</v>
      </c>
      <c r="B6" s="29">
        <v>0.16733092275545336</v>
      </c>
      <c r="C6" s="25">
        <f t="shared" si="0"/>
        <v>8.895236596870093E-2</v>
      </c>
    </row>
    <row r="7" spans="1:18" x14ac:dyDescent="0.35">
      <c r="A7" s="29">
        <v>0.23264797734944812</v>
      </c>
      <c r="B7" s="29">
        <v>1.812595698056263E-2</v>
      </c>
      <c r="C7" s="25">
        <f t="shared" si="0"/>
        <v>0.19891798609042055</v>
      </c>
      <c r="E7" s="31" t="s">
        <v>6</v>
      </c>
      <c r="F7" s="27">
        <v>100000</v>
      </c>
    </row>
    <row r="8" spans="1:18" x14ac:dyDescent="0.35">
      <c r="A8" s="29">
        <v>0.15475002097803831</v>
      </c>
      <c r="B8" s="29">
        <v>-0.10196224107693959</v>
      </c>
      <c r="C8" s="25">
        <f t="shared" si="0"/>
        <v>0.11438632152979512</v>
      </c>
      <c r="E8" s="31" t="s">
        <v>7</v>
      </c>
      <c r="F8" s="28">
        <f>-_xlfn.NORM.INV(0.05,H2,H3)*F7</f>
        <v>12640.970032105344</v>
      </c>
    </row>
    <row r="9" spans="1:18" x14ac:dyDescent="0.35">
      <c r="A9" s="29">
        <v>0.14208660104627815</v>
      </c>
      <c r="B9" s="29">
        <v>0.1496689363914665</v>
      </c>
      <c r="C9" s="25">
        <f t="shared" si="0"/>
        <v>0.14327879616208231</v>
      </c>
      <c r="E9" s="31" t="s">
        <v>32</v>
      </c>
      <c r="F9" s="28">
        <f>-_xlfn.NORM.INV(0.1,H2,H3)*F7</f>
        <v>8000.0000000497839</v>
      </c>
      <c r="G9" s="29"/>
    </row>
    <row r="10" spans="1:18" ht="15.75" customHeight="1" x14ac:dyDescent="0.35">
      <c r="A10" s="29">
        <v>7.6638196156582294E-2</v>
      </c>
      <c r="B10" s="29">
        <v>4.999802397148656E-2</v>
      </c>
      <c r="C10" s="25">
        <f t="shared" si="0"/>
        <v>7.2449475700765639E-2</v>
      </c>
      <c r="F10" s="29"/>
      <c r="G10" s="29"/>
    </row>
    <row r="11" spans="1:18" ht="15.75" customHeight="1" x14ac:dyDescent="0.35">
      <c r="A11" s="29">
        <v>3.1204985235513426E-2</v>
      </c>
      <c r="B11" s="29">
        <v>6.0541078892645886E-2</v>
      </c>
      <c r="C11" s="25">
        <f t="shared" si="0"/>
        <v>3.5817594145906718E-2</v>
      </c>
    </row>
    <row r="12" spans="1:18" x14ac:dyDescent="0.35">
      <c r="A12" s="29">
        <v>6.2435638233575314E-2</v>
      </c>
      <c r="B12" s="29">
        <v>0.22574596839297695</v>
      </c>
      <c r="C12" s="25">
        <f t="shared" si="0"/>
        <v>8.8113449766924451E-2</v>
      </c>
    </row>
    <row r="13" spans="1:18" x14ac:dyDescent="0.35">
      <c r="A13" s="29">
        <v>-5.0675425677423558E-2</v>
      </c>
      <c r="B13" s="29">
        <v>7.6454512622832732E-2</v>
      </c>
      <c r="C13" s="25">
        <f t="shared" si="0"/>
        <v>-3.0686374202639345E-2</v>
      </c>
    </row>
    <row r="14" spans="1:18" x14ac:dyDescent="0.35">
      <c r="A14" s="29">
        <v>-9.4458649297991054E-2</v>
      </c>
      <c r="B14" s="29">
        <v>0.19420750898290856</v>
      </c>
      <c r="C14" s="25">
        <f t="shared" si="0"/>
        <v>-4.9070735372656625E-2</v>
      </c>
    </row>
    <row r="15" spans="1:18" x14ac:dyDescent="0.35">
      <c r="A15" s="29">
        <v>-7.038649912801126E-2</v>
      </c>
      <c r="B15" s="29">
        <v>0.12303032098486821</v>
      </c>
      <c r="C15" s="25">
        <f t="shared" si="0"/>
        <v>-3.9974946782298904E-2</v>
      </c>
    </row>
    <row r="16" spans="1:18" x14ac:dyDescent="0.35">
      <c r="A16" s="29">
        <v>-9.9096068743952104E-3</v>
      </c>
      <c r="B16" s="29">
        <v>0.17986929227984544</v>
      </c>
      <c r="C16" s="25">
        <f t="shared" si="0"/>
        <v>1.9929943390016042E-2</v>
      </c>
    </row>
    <row r="17" spans="1:3" x14ac:dyDescent="0.35">
      <c r="A17" s="29">
        <v>-5.4655683722832721E-2</v>
      </c>
      <c r="B17" s="29">
        <v>9.071818347945923E-2</v>
      </c>
      <c r="C17" s="25">
        <f t="shared" si="0"/>
        <v>-3.1798080286166854E-2</v>
      </c>
    </row>
    <row r="18" spans="1:3" x14ac:dyDescent="0.35">
      <c r="A18" s="29">
        <v>0.18499062965509416</v>
      </c>
      <c r="B18" s="29">
        <v>-8.9802856129051131E-2</v>
      </c>
      <c r="C18" s="25">
        <f t="shared" si="0"/>
        <v>0.14178396090566403</v>
      </c>
    </row>
    <row r="19" spans="1:3" x14ac:dyDescent="0.35">
      <c r="A19" s="29">
        <v>0.31164772060413715</v>
      </c>
      <c r="B19" s="29">
        <v>5.6207167298549354E-2</v>
      </c>
      <c r="C19" s="25">
        <f t="shared" si="0"/>
        <v>0.27148397603664326</v>
      </c>
    </row>
    <row r="20" spans="1:3" x14ac:dyDescent="0.35">
      <c r="A20" s="29">
        <v>-0.14970644985681675</v>
      </c>
      <c r="B20" s="29">
        <v>0.15325405769327616</v>
      </c>
      <c r="C20" s="25">
        <f t="shared" si="0"/>
        <v>-0.1020709891524883</v>
      </c>
    </row>
    <row r="21" spans="1:3" x14ac:dyDescent="0.35">
      <c r="A21" s="29">
        <v>9.4734940476079527E-2</v>
      </c>
      <c r="B21" s="29">
        <v>-4.6948433467296449E-2</v>
      </c>
      <c r="C21" s="25">
        <f t="shared" si="0"/>
        <v>7.245760523356308E-2</v>
      </c>
    </row>
    <row r="22" spans="1:3" x14ac:dyDescent="0.35">
      <c r="A22" s="29">
        <v>-7.2285131296196542E-2</v>
      </c>
      <c r="B22" s="29">
        <v>0.12324986103161979</v>
      </c>
      <c r="C22" s="25">
        <f t="shared" si="0"/>
        <v>-4.1540531880667864E-2</v>
      </c>
    </row>
    <row r="23" spans="1:3" x14ac:dyDescent="0.35">
      <c r="A23" s="29">
        <v>3.7069825671177947E-4</v>
      </c>
      <c r="B23" s="29">
        <v>-5.5950411266057515E-2</v>
      </c>
      <c r="C23" s="25">
        <f t="shared" si="0"/>
        <v>-8.4848519969873935E-3</v>
      </c>
    </row>
    <row r="24" spans="1:3" x14ac:dyDescent="0.35">
      <c r="A24" s="29">
        <v>2.1383095420780138E-2</v>
      </c>
      <c r="B24" s="29">
        <v>0.14289488033447323</v>
      </c>
      <c r="C24" s="25">
        <f t="shared" si="0"/>
        <v>4.0488786463405486E-2</v>
      </c>
    </row>
    <row r="25" spans="1:3" x14ac:dyDescent="0.35">
      <c r="A25" s="29">
        <v>-1.9183654410499074E-2</v>
      </c>
      <c r="B25" s="29">
        <v>7.1207775022401373E-2</v>
      </c>
      <c r="C25" s="25">
        <f t="shared" si="0"/>
        <v>-4.9711175370352623E-3</v>
      </c>
    </row>
    <row r="26" spans="1:3" x14ac:dyDescent="0.35">
      <c r="A26" s="29">
        <v>0.16612875709310093</v>
      </c>
      <c r="B26" s="29">
        <v>5.7707059610752134E-3</v>
      </c>
      <c r="C26" s="25">
        <f t="shared" si="0"/>
        <v>0.14091514194209226</v>
      </c>
    </row>
    <row r="27" spans="1:3" x14ac:dyDescent="0.35">
      <c r="A27" s="29">
        <v>3.5680042071372348E-2</v>
      </c>
      <c r="B27" s="29">
        <v>8.543948356829896E-2</v>
      </c>
      <c r="C27" s="25">
        <f t="shared" si="0"/>
        <v>4.3503880033831072E-2</v>
      </c>
    </row>
    <row r="28" spans="1:3" x14ac:dyDescent="0.35">
      <c r="A28" s="29">
        <v>-9.2513113735682967E-2</v>
      </c>
      <c r="B28" s="29">
        <v>7.5770476795768885E-2</v>
      </c>
      <c r="C28" s="25">
        <f t="shared" si="0"/>
        <v>-6.6053340385128931E-2</v>
      </c>
    </row>
    <row r="29" spans="1:3" x14ac:dyDescent="0.35">
      <c r="A29" s="29">
        <v>0.14426875556092764</v>
      </c>
      <c r="B29" s="29">
        <v>0.10946151223972364</v>
      </c>
      <c r="C29" s="25">
        <f t="shared" si="0"/>
        <v>0.13879590008923201</v>
      </c>
    </row>
    <row r="30" spans="1:3" x14ac:dyDescent="0.35">
      <c r="A30" s="29">
        <v>3.3027916215613309E-2</v>
      </c>
      <c r="B30" s="29">
        <v>0.1213293511819728</v>
      </c>
      <c r="C30" s="25">
        <f t="shared" si="0"/>
        <v>4.6911836497798426E-2</v>
      </c>
    </row>
    <row r="31" spans="1:3" x14ac:dyDescent="0.35">
      <c r="A31" s="29">
        <v>-1.0166760988446211E-2</v>
      </c>
      <c r="B31" s="29">
        <v>1.3287596083923651E-2</v>
      </c>
      <c r="C31" s="25">
        <f t="shared" si="0"/>
        <v>-6.4789565491780677E-3</v>
      </c>
    </row>
    <row r="32" spans="1:3" x14ac:dyDescent="0.35">
      <c r="A32" s="29">
        <v>0.17226766248182218</v>
      </c>
      <c r="B32" s="29">
        <v>0.10394749174419532</v>
      </c>
      <c r="C32" s="25">
        <f t="shared" si="0"/>
        <v>0.16152546101535836</v>
      </c>
    </row>
    <row r="33" spans="1:3" x14ac:dyDescent="0.35">
      <c r="A33" s="29">
        <v>0.14222197096706149</v>
      </c>
      <c r="B33" s="29">
        <v>-5.436987422556272E-3</v>
      </c>
      <c r="C33" s="25">
        <f t="shared" si="0"/>
        <v>0.11900507525055394</v>
      </c>
    </row>
    <row r="34" spans="1:3" x14ac:dyDescent="0.35">
      <c r="A34" s="29">
        <v>9.5670449210506547E-2</v>
      </c>
      <c r="B34" s="29">
        <v>0.16238214522997654</v>
      </c>
      <c r="C34" s="25">
        <f t="shared" si="0"/>
        <v>0.10615974499348621</v>
      </c>
    </row>
    <row r="35" spans="1:3" x14ac:dyDescent="0.35">
      <c r="A35" s="29">
        <v>0.1136117483443512</v>
      </c>
      <c r="B35" s="29">
        <v>0.11111824173305014</v>
      </c>
      <c r="C35" s="25">
        <f t="shared" si="0"/>
        <v>0.11321968623315681</v>
      </c>
    </row>
    <row r="36" spans="1:3" x14ac:dyDescent="0.35">
      <c r="A36" s="29">
        <v>0.1488097553695561</v>
      </c>
      <c r="B36" s="29">
        <v>8.4428277137307481E-3</v>
      </c>
      <c r="C36" s="25">
        <f t="shared" si="0"/>
        <v>0.12673940923564356</v>
      </c>
    </row>
    <row r="37" spans="1:3" x14ac:dyDescent="0.35">
      <c r="A37" s="29">
        <v>5.1186468137402977E-2</v>
      </c>
      <c r="B37" s="29">
        <v>-3.1291133899380513E-2</v>
      </c>
      <c r="C37" s="25">
        <f t="shared" si="0"/>
        <v>3.8218247947314925E-2</v>
      </c>
    </row>
    <row r="38" spans="1:3" x14ac:dyDescent="0.35">
      <c r="A38" s="29">
        <v>0.15415984905838453</v>
      </c>
      <c r="B38" s="29">
        <v>1.7689623271144261E-2</v>
      </c>
      <c r="C38" s="25">
        <f t="shared" si="0"/>
        <v>0.13270219396542152</v>
      </c>
    </row>
    <row r="39" spans="1:3" x14ac:dyDescent="0.35">
      <c r="A39" s="29">
        <v>-0.18724086874415383</v>
      </c>
      <c r="B39" s="29">
        <v>0.16543322850545839</v>
      </c>
      <c r="C39" s="25">
        <f t="shared" si="0"/>
        <v>-0.13178877950380738</v>
      </c>
    </row>
    <row r="40" spans="1:3" x14ac:dyDescent="0.35">
      <c r="A40" s="29">
        <v>1.0108623247523138E-2</v>
      </c>
      <c r="B40" s="29">
        <v>0.14974037106844901</v>
      </c>
      <c r="C40" s="25">
        <f t="shared" si="0"/>
        <v>3.2063374677627071E-2</v>
      </c>
    </row>
    <row r="41" spans="1:3" x14ac:dyDescent="0.35">
      <c r="A41" s="29">
        <v>-9.4544509260857335E-2</v>
      </c>
      <c r="B41" s="29">
        <v>6.8192858837020726E-2</v>
      </c>
      <c r="C41" s="25">
        <f t="shared" si="0"/>
        <v>-6.8956786406021084E-2</v>
      </c>
    </row>
    <row r="42" spans="1:3" x14ac:dyDescent="0.35">
      <c r="A42" s="29">
        <v>7.6464852563767255E-2</v>
      </c>
      <c r="B42" s="29">
        <v>-2.7647671257112136E-2</v>
      </c>
      <c r="C42" s="25">
        <f t="shared" si="0"/>
        <v>6.0094903630809576E-2</v>
      </c>
    </row>
    <row r="43" spans="1:3" x14ac:dyDescent="0.35">
      <c r="A43" s="29">
        <v>0.41979791845978831</v>
      </c>
      <c r="B43" s="29">
        <v>-0.1127191175947644</v>
      </c>
      <c r="C43" s="25">
        <f t="shared" si="0"/>
        <v>0.33606854214440224</v>
      </c>
    </row>
    <row r="44" spans="1:3" x14ac:dyDescent="0.35">
      <c r="A44" s="29">
        <v>0.60224898784097602</v>
      </c>
      <c r="B44" s="29">
        <v>-0.2089574418182279</v>
      </c>
      <c r="C44" s="25">
        <f t="shared" si="0"/>
        <v>0.47470037658595854</v>
      </c>
    </row>
    <row r="45" spans="1:3" x14ac:dyDescent="0.35">
      <c r="A45" s="29">
        <v>-3.2751205574898676E-2</v>
      </c>
      <c r="B45" s="29">
        <v>-2.8512490072763505E-2</v>
      </c>
      <c r="C45" s="25">
        <f t="shared" si="0"/>
        <v>-3.2084738623903743E-2</v>
      </c>
    </row>
    <row r="46" spans="1:3" x14ac:dyDescent="0.35">
      <c r="A46" s="29">
        <v>0.35133403589641077</v>
      </c>
      <c r="B46" s="29">
        <v>5.1565165203937682E-2</v>
      </c>
      <c r="C46" s="25">
        <f t="shared" si="0"/>
        <v>0.30420040658041436</v>
      </c>
    </row>
    <row r="47" spans="1:3" x14ac:dyDescent="0.35">
      <c r="A47" s="29">
        <v>0.13911253760462031</v>
      </c>
      <c r="B47" s="29">
        <v>-0.12286681086300567</v>
      </c>
      <c r="C47" s="25">
        <f t="shared" si="0"/>
        <v>9.7920677120257524E-2</v>
      </c>
    </row>
    <row r="48" spans="1:3" x14ac:dyDescent="0.35">
      <c r="A48" s="29">
        <v>-0.18936229012373054</v>
      </c>
      <c r="B48" s="29">
        <v>0.19739578190849155</v>
      </c>
      <c r="C48" s="25">
        <f t="shared" si="0"/>
        <v>-0.12855106726384496</v>
      </c>
    </row>
    <row r="49" spans="1:3" x14ac:dyDescent="0.35">
      <c r="A49" s="29">
        <v>-0.17400077998216026</v>
      </c>
      <c r="B49" s="29">
        <v>0.17475284689685533</v>
      </c>
      <c r="C49" s="25">
        <f t="shared" si="0"/>
        <v>-0.11916511898122768</v>
      </c>
    </row>
    <row r="50" spans="1:3" x14ac:dyDescent="0.35">
      <c r="A50" s="29">
        <v>5.5024447391749588E-2</v>
      </c>
      <c r="B50" s="29">
        <v>5.2342756179538874E-2</v>
      </c>
      <c r="C50" s="25">
        <f t="shared" si="0"/>
        <v>5.4602796406961474E-2</v>
      </c>
    </row>
    <row r="51" spans="1:3" x14ac:dyDescent="0.35">
      <c r="A51" s="29">
        <v>0.20770227771278083</v>
      </c>
      <c r="B51" s="29">
        <v>8.1454375968857406E-2</v>
      </c>
      <c r="C51" s="25">
        <f t="shared" si="0"/>
        <v>0.18785191169920984</v>
      </c>
    </row>
    <row r="52" spans="1:3" x14ac:dyDescent="0.35">
      <c r="A52" s="29">
        <v>7.903139891098615E-2</v>
      </c>
      <c r="B52" s="29">
        <v>8.1438386921127731E-2</v>
      </c>
      <c r="C52" s="25">
        <f t="shared" si="0"/>
        <v>7.9409857422625435E-2</v>
      </c>
    </row>
    <row r="53" spans="1:3" x14ac:dyDescent="0.35">
      <c r="A53" s="29">
        <v>0.13210601152153503</v>
      </c>
      <c r="B53" s="29">
        <v>-5.7081065029392017E-3</v>
      </c>
      <c r="C53" s="25">
        <f t="shared" si="0"/>
        <v>0.11043705190450949</v>
      </c>
    </row>
    <row r="54" spans="1:3" x14ac:dyDescent="0.35">
      <c r="A54" s="29">
        <v>0.13232258916619752</v>
      </c>
      <c r="B54" s="29">
        <v>4.6119112438357729E-2</v>
      </c>
      <c r="C54" s="25">
        <f t="shared" si="0"/>
        <v>0.11876853764492279</v>
      </c>
    </row>
    <row r="55" spans="1:3" x14ac:dyDescent="0.35">
      <c r="A55" s="29">
        <v>0.297836835933869</v>
      </c>
      <c r="B55" s="29">
        <v>8.5238896111571705E-2</v>
      </c>
      <c r="C55" s="25">
        <f t="shared" si="0"/>
        <v>0.26440937408374077</v>
      </c>
    </row>
    <row r="56" spans="1:3" x14ac:dyDescent="0.35">
      <c r="A56" s="29">
        <v>-0.15630466985372038</v>
      </c>
      <c r="B56" s="29">
        <v>-6.9814426790082568E-2</v>
      </c>
      <c r="C56" s="25">
        <f t="shared" si="0"/>
        <v>-0.14270552913375537</v>
      </c>
    </row>
    <row r="57" spans="1:3" x14ac:dyDescent="0.35">
      <c r="A57" s="29">
        <v>0.26422388380468309</v>
      </c>
      <c r="B57" s="29">
        <v>7.5372965936456149E-2</v>
      </c>
      <c r="C57" s="25">
        <f t="shared" si="0"/>
        <v>0.23453024303996781</v>
      </c>
    </row>
    <row r="58" spans="1:3" x14ac:dyDescent="0.35">
      <c r="A58" s="29">
        <v>0.22046368013004503</v>
      </c>
      <c r="B58" s="29">
        <v>-4.6563246943595052E-2</v>
      </c>
      <c r="C58" s="25">
        <f t="shared" si="0"/>
        <v>0.17847817253212558</v>
      </c>
    </row>
    <row r="59" spans="1:3" x14ac:dyDescent="0.35">
      <c r="A59" s="29">
        <v>-6.8646922555187756E-2</v>
      </c>
      <c r="B59" s="29">
        <v>0.10237400433104836</v>
      </c>
      <c r="C59" s="25">
        <f t="shared" si="0"/>
        <v>-4.1756748954062131E-2</v>
      </c>
    </row>
    <row r="60" spans="1:3" x14ac:dyDescent="0.35">
      <c r="A60" s="29">
        <v>1.0868489557918998E-2</v>
      </c>
      <c r="B60" s="29">
        <v>3.6665525974329954E-2</v>
      </c>
      <c r="C60" s="25">
        <f t="shared" si="0"/>
        <v>1.4924641049211606E-2</v>
      </c>
    </row>
    <row r="61" spans="1:3" x14ac:dyDescent="0.35">
      <c r="A61" s="29">
        <v>-0.18451339046722373</v>
      </c>
      <c r="B61" s="29">
        <v>0.26331767796123812</v>
      </c>
      <c r="C61" s="25">
        <f t="shared" si="0"/>
        <v>-0.1140994628077773</v>
      </c>
    </row>
    <row r="62" spans="1:3" x14ac:dyDescent="0.35">
      <c r="A62" s="29">
        <v>-4.5551049072252381E-2</v>
      </c>
      <c r="B62" s="29">
        <v>-0.15806642942684662</v>
      </c>
      <c r="C62" s="25">
        <f t="shared" si="0"/>
        <v>-6.3242206321939928E-2</v>
      </c>
    </row>
    <row r="63" spans="1:3" x14ac:dyDescent="0.35">
      <c r="A63" s="29">
        <v>0.25379644927288841</v>
      </c>
      <c r="B63" s="29">
        <v>-7.7077077915826089E-2</v>
      </c>
      <c r="C63" s="25">
        <f t="shared" si="0"/>
        <v>0.20177213418985895</v>
      </c>
    </row>
    <row r="64" spans="1:3" x14ac:dyDescent="0.35">
      <c r="A64" s="29">
        <v>-0.17164037643281851</v>
      </c>
      <c r="B64" s="29">
        <v>-1.5969706630996047E-2</v>
      </c>
      <c r="C64" s="25">
        <f t="shared" si="0"/>
        <v>-0.14716377341242287</v>
      </c>
    </row>
    <row r="65" spans="1:3" x14ac:dyDescent="0.35">
      <c r="A65" s="29">
        <v>0.19712309657766605</v>
      </c>
      <c r="B65" s="29">
        <v>-0.22308605592211972</v>
      </c>
      <c r="C65" s="25">
        <f t="shared" si="0"/>
        <v>0.1310522521188614</v>
      </c>
    </row>
    <row r="66" spans="1:3" x14ac:dyDescent="0.35">
      <c r="A66" s="29">
        <v>-7.1060007963519078E-2</v>
      </c>
      <c r="B66" s="29">
        <v>0.24884214970396928</v>
      </c>
      <c r="C66" s="25">
        <f t="shared" si="0"/>
        <v>-2.0760756803597215E-2</v>
      </c>
    </row>
    <row r="67" spans="1:3" x14ac:dyDescent="0.35">
      <c r="A67" s="29">
        <v>0.28289199443374607</v>
      </c>
      <c r="B67" s="29">
        <v>3.6394658088796016E-2</v>
      </c>
      <c r="C67" s="25">
        <f t="shared" ref="C67:C130" si="1">SUMPRODUCT(A67:B67,$F$4:$G$4)</f>
        <v>0.24413442080101769</v>
      </c>
    </row>
    <row r="68" spans="1:3" x14ac:dyDescent="0.35">
      <c r="A68" s="29">
        <v>1.7906216010855264E-2</v>
      </c>
      <c r="B68" s="29">
        <v>-0.10043677901309829</v>
      </c>
      <c r="C68" s="25">
        <f t="shared" si="1"/>
        <v>-7.0123594610970764E-4</v>
      </c>
    </row>
    <row r="69" spans="1:3" x14ac:dyDescent="0.35">
      <c r="A69" s="29">
        <v>0.22741688620786407</v>
      </c>
      <c r="B69" s="29">
        <v>8.0650624652161121E-2</v>
      </c>
      <c r="C69" s="25">
        <f t="shared" si="1"/>
        <v>0.20434035210250084</v>
      </c>
    </row>
    <row r="70" spans="1:3" x14ac:dyDescent="0.35">
      <c r="A70" s="29">
        <v>6.8526435126265411E-2</v>
      </c>
      <c r="B70" s="29">
        <v>6.1042522726081419E-2</v>
      </c>
      <c r="C70" s="25">
        <f t="shared" si="1"/>
        <v>6.7349715368510671E-2</v>
      </c>
    </row>
    <row r="71" spans="1:3" x14ac:dyDescent="0.35">
      <c r="A71" s="29">
        <v>-9.5940009916702984E-2</v>
      </c>
      <c r="B71" s="29">
        <v>0.13166620235687659</v>
      </c>
      <c r="C71" s="25">
        <f t="shared" si="1"/>
        <v>-6.0152748836060484E-2</v>
      </c>
    </row>
    <row r="72" spans="1:3" x14ac:dyDescent="0.35">
      <c r="A72" s="29">
        <v>3.2151930586253007E-2</v>
      </c>
      <c r="B72" s="29">
        <v>0.13142570520683888</v>
      </c>
      <c r="C72" s="25">
        <f t="shared" si="1"/>
        <v>4.7761067328695825E-2</v>
      </c>
    </row>
    <row r="73" spans="1:3" x14ac:dyDescent="0.35">
      <c r="A73" s="29">
        <v>-0.2911073368676832</v>
      </c>
      <c r="B73" s="29">
        <v>0.14698354328522745</v>
      </c>
      <c r="C73" s="25">
        <f t="shared" si="1"/>
        <v>-0.22222489052111405</v>
      </c>
    </row>
    <row r="74" spans="1:3" x14ac:dyDescent="0.35">
      <c r="A74" s="29">
        <v>2.7992581223029271E-2</v>
      </c>
      <c r="B74" s="29">
        <v>1.7839009149254084E-2</v>
      </c>
      <c r="C74" s="25">
        <f t="shared" si="1"/>
        <v>2.6396102238226568E-2</v>
      </c>
    </row>
    <row r="75" spans="1:3" x14ac:dyDescent="0.35">
      <c r="A75" s="29">
        <v>3.3200451880567444E-3</v>
      </c>
      <c r="B75" s="29">
        <v>3.5141118607727284E-2</v>
      </c>
      <c r="C75" s="25">
        <f t="shared" si="1"/>
        <v>8.3233755056283682E-3</v>
      </c>
    </row>
    <row r="76" spans="1:3" x14ac:dyDescent="0.35">
      <c r="A76" s="29">
        <v>9.7865352917858472E-2</v>
      </c>
      <c r="B76" s="29">
        <v>8.8820581809361046E-2</v>
      </c>
      <c r="C76" s="25">
        <f t="shared" si="1"/>
        <v>9.6443214295888965E-2</v>
      </c>
    </row>
    <row r="77" spans="1:3" x14ac:dyDescent="0.35">
      <c r="A77" s="29">
        <v>0.1051356444794492</v>
      </c>
      <c r="B77" s="29">
        <v>1.1549277403501354E-3</v>
      </c>
      <c r="C77" s="25">
        <f t="shared" si="1"/>
        <v>8.8786420000366642E-2</v>
      </c>
    </row>
    <row r="78" spans="1:3" x14ac:dyDescent="0.35">
      <c r="A78" s="29">
        <v>0.28052681113412686</v>
      </c>
      <c r="B78" s="29">
        <v>-0.13078999367772615</v>
      </c>
      <c r="C78" s="25">
        <f t="shared" si="1"/>
        <v>0.21585413926977404</v>
      </c>
    </row>
    <row r="79" spans="1:3" x14ac:dyDescent="0.35">
      <c r="A79" s="29">
        <v>9.4426413439783738E-2</v>
      </c>
      <c r="B79" s="29">
        <v>1.3655709508304102E-2</v>
      </c>
      <c r="C79" s="25">
        <f t="shared" si="1"/>
        <v>8.1726574360748747E-2</v>
      </c>
    </row>
    <row r="80" spans="1:3" x14ac:dyDescent="0.35">
      <c r="A80" s="29">
        <v>0.12673882129659117</v>
      </c>
      <c r="B80" s="29">
        <v>-2.9215000935329902E-2</v>
      </c>
      <c r="C80" s="25">
        <f t="shared" si="1"/>
        <v>0.10221769730358966</v>
      </c>
    </row>
    <row r="81" spans="1:3" x14ac:dyDescent="0.35">
      <c r="A81" s="29">
        <v>0.13394529021322826</v>
      </c>
      <c r="B81" s="29">
        <v>3.2266351629960111E-4</v>
      </c>
      <c r="C81" s="25">
        <f t="shared" si="1"/>
        <v>0.11293537233745285</v>
      </c>
    </row>
    <row r="82" spans="1:3" x14ac:dyDescent="0.35">
      <c r="A82" s="29">
        <v>0.20114747881240744</v>
      </c>
      <c r="B82" s="29">
        <v>0.19114066902635352</v>
      </c>
      <c r="C82" s="25">
        <f t="shared" si="1"/>
        <v>0.19957407573689126</v>
      </c>
    </row>
    <row r="83" spans="1:3" x14ac:dyDescent="0.35">
      <c r="A83" s="29">
        <v>0.37897478053570277</v>
      </c>
      <c r="B83" s="29">
        <v>2.2490867708320841E-2</v>
      </c>
      <c r="C83" s="25">
        <f t="shared" si="1"/>
        <v>0.32292366166699599</v>
      </c>
    </row>
    <row r="84" spans="1:3" x14ac:dyDescent="0.35">
      <c r="A84" s="29">
        <v>0.23388936034281685</v>
      </c>
      <c r="B84" s="29">
        <v>1.660622417498394E-2</v>
      </c>
      <c r="C84" s="25">
        <f t="shared" si="1"/>
        <v>0.19972522991428346</v>
      </c>
    </row>
    <row r="85" spans="1:3" x14ac:dyDescent="0.35">
      <c r="A85" s="29">
        <v>0.15486126603434336</v>
      </c>
      <c r="B85" s="29">
        <v>-1.6939530787533186E-2</v>
      </c>
      <c r="C85" s="25">
        <f t="shared" si="1"/>
        <v>0.12784847096029345</v>
      </c>
    </row>
    <row r="86" spans="1:3" x14ac:dyDescent="0.35">
      <c r="A86" s="29">
        <v>9.9044234126914835E-2</v>
      </c>
      <c r="B86" s="29">
        <v>5.0454605072033615E-2</v>
      </c>
      <c r="C86" s="25">
        <f t="shared" si="1"/>
        <v>9.1404329559158642E-2</v>
      </c>
    </row>
    <row r="87" spans="1:3" x14ac:dyDescent="0.35">
      <c r="A87" s="29">
        <v>8.1973464697092879E-2</v>
      </c>
      <c r="B87" s="29">
        <v>-7.0977680956348196E-2</v>
      </c>
      <c r="C87" s="25">
        <f t="shared" si="1"/>
        <v>5.7924461256432143E-2</v>
      </c>
    </row>
    <row r="88" spans="1:3" x14ac:dyDescent="0.35">
      <c r="A88" s="29">
        <v>-3.2735396566656E-2</v>
      </c>
      <c r="B88" s="29">
        <v>1.8958924903610487E-2</v>
      </c>
      <c r="C88" s="25">
        <f t="shared" si="1"/>
        <v>-2.4607331166492774E-2</v>
      </c>
    </row>
    <row r="89" spans="1:3" x14ac:dyDescent="0.35">
      <c r="A89" s="29">
        <v>0.24071977435796912</v>
      </c>
      <c r="B89" s="29">
        <v>-9.030233127960488E-4</v>
      </c>
      <c r="C89" s="25">
        <f t="shared" si="1"/>
        <v>0.20272864021051742</v>
      </c>
    </row>
    <row r="90" spans="1:3" x14ac:dyDescent="0.35">
      <c r="A90" s="29">
        <v>0.18208613474992555</v>
      </c>
      <c r="B90" s="29">
        <v>3.2640284018116653E-2</v>
      </c>
      <c r="C90" s="25">
        <f t="shared" si="1"/>
        <v>0.15858828016971122</v>
      </c>
    </row>
    <row r="91" spans="1:3" x14ac:dyDescent="0.35">
      <c r="A91" s="29">
        <v>0.117982178175145</v>
      </c>
      <c r="B91" s="29">
        <v>-1.2480701640036201E-3</v>
      </c>
      <c r="C91" s="25">
        <f t="shared" si="1"/>
        <v>9.9235220509094266E-2</v>
      </c>
    </row>
    <row r="92" spans="1:3" x14ac:dyDescent="0.35">
      <c r="A92" s="29">
        <v>0.38737916552779161</v>
      </c>
      <c r="B92" s="29">
        <v>-9.4479921704187189E-2</v>
      </c>
      <c r="C92" s="25">
        <f t="shared" si="1"/>
        <v>0.31161490238842104</v>
      </c>
    </row>
    <row r="93" spans="1:3" x14ac:dyDescent="0.35">
      <c r="A93" s="29">
        <v>0.14036503789489566</v>
      </c>
      <c r="B93" s="29">
        <v>5.5969426252739866E-2</v>
      </c>
      <c r="C93" s="25">
        <f t="shared" si="1"/>
        <v>0.12709524284963569</v>
      </c>
    </row>
    <row r="94" spans="1:3" x14ac:dyDescent="0.35">
      <c r="A94" s="29">
        <v>2.5449168502337222E-2</v>
      </c>
      <c r="B94" s="29">
        <v>3.3020657048687001E-2</v>
      </c>
      <c r="C94" s="25">
        <f t="shared" si="1"/>
        <v>2.6639658140869674E-2</v>
      </c>
    </row>
    <row r="95" spans="1:3" x14ac:dyDescent="0.35">
      <c r="A95" s="29">
        <v>9.0994840676831709E-2</v>
      </c>
      <c r="B95" s="29">
        <v>0.17976070214449713</v>
      </c>
      <c r="C95" s="25">
        <f t="shared" si="1"/>
        <v>0.10495178424027519</v>
      </c>
    </row>
    <row r="96" spans="1:3" x14ac:dyDescent="0.35">
      <c r="A96" s="29">
        <v>0.24966176163580311</v>
      </c>
      <c r="B96" s="29">
        <v>-2.0614435469192172E-2</v>
      </c>
      <c r="C96" s="25">
        <f t="shared" si="1"/>
        <v>0.20716536079919717</v>
      </c>
    </row>
    <row r="97" spans="1:3" x14ac:dyDescent="0.35">
      <c r="A97" s="29">
        <v>-5.8633698489328007E-2</v>
      </c>
      <c r="B97" s="29">
        <v>0.18451298891320367</v>
      </c>
      <c r="C97" s="25">
        <f t="shared" si="1"/>
        <v>-2.0402958229441687E-2</v>
      </c>
    </row>
    <row r="98" spans="1:3" x14ac:dyDescent="0.35">
      <c r="A98" s="29">
        <v>0.3017432867981853</v>
      </c>
      <c r="B98" s="29">
        <v>3.4311747038278301E-2</v>
      </c>
      <c r="C98" s="25">
        <f t="shared" si="1"/>
        <v>0.2596941606386487</v>
      </c>
    </row>
    <row r="99" spans="1:3" x14ac:dyDescent="0.35">
      <c r="A99" s="29">
        <v>0.20843475026737468</v>
      </c>
      <c r="B99" s="29">
        <v>8.9968766422597393E-2</v>
      </c>
      <c r="C99" s="25">
        <f t="shared" si="1"/>
        <v>0.18980796038023262</v>
      </c>
    </row>
    <row r="100" spans="1:3" x14ac:dyDescent="0.35">
      <c r="A100" s="29">
        <v>0.20760833033168163</v>
      </c>
      <c r="B100" s="29">
        <v>3.8179362237336034E-2</v>
      </c>
      <c r="C100" s="25">
        <f t="shared" si="1"/>
        <v>0.18096846556152296</v>
      </c>
    </row>
    <row r="101" spans="1:3" x14ac:dyDescent="0.35">
      <c r="A101" s="29">
        <v>-2.4771463800942792E-2</v>
      </c>
      <c r="B101" s="29">
        <v>0.13341171147838782</v>
      </c>
      <c r="C101" s="25">
        <f t="shared" si="1"/>
        <v>1.0018858384389442E-4</v>
      </c>
    </row>
    <row r="102" spans="1:3" x14ac:dyDescent="0.35">
      <c r="A102" s="29">
        <v>-3.2381420388073803E-2</v>
      </c>
      <c r="B102" s="29">
        <v>0.1561869571703545</v>
      </c>
      <c r="C102" s="25">
        <f t="shared" si="1"/>
        <v>-2.7322043503093217E-3</v>
      </c>
    </row>
    <row r="103" spans="1:3" x14ac:dyDescent="0.35">
      <c r="A103" s="29">
        <v>0.17418224436750362</v>
      </c>
      <c r="B103" s="29">
        <v>7.7504568591440393E-2</v>
      </c>
      <c r="C103" s="25">
        <f t="shared" si="1"/>
        <v>0.15898130064497898</v>
      </c>
    </row>
    <row r="104" spans="1:3" x14ac:dyDescent="0.35">
      <c r="A104" s="29">
        <v>4.5182212705437291E-2</v>
      </c>
      <c r="B104" s="29">
        <v>6.4042802150134387E-2</v>
      </c>
      <c r="C104" s="25">
        <f t="shared" si="1"/>
        <v>4.8147724199389327E-2</v>
      </c>
    </row>
    <row r="105" spans="1:3" x14ac:dyDescent="0.35">
      <c r="A105" s="29">
        <v>0.17950790637660868</v>
      </c>
      <c r="B105" s="29">
        <v>7.2936286803147385E-2</v>
      </c>
      <c r="C105" s="25">
        <f t="shared" si="1"/>
        <v>0.16275130586309502</v>
      </c>
    </row>
    <row r="106" spans="1:3" x14ac:dyDescent="0.35">
      <c r="A106" s="29">
        <v>0.218044278297887</v>
      </c>
      <c r="B106" s="29">
        <v>1.6218178693374656E-2</v>
      </c>
      <c r="C106" s="25">
        <f t="shared" si="1"/>
        <v>0.18631050773299254</v>
      </c>
    </row>
    <row r="107" spans="1:3" x14ac:dyDescent="0.35">
      <c r="A107" s="29">
        <v>0.29127333714987136</v>
      </c>
      <c r="B107" s="29">
        <v>-7.9406872878321669E-2</v>
      </c>
      <c r="C107" s="25">
        <f t="shared" si="1"/>
        <v>0.23299008854608882</v>
      </c>
    </row>
    <row r="108" spans="1:3" x14ac:dyDescent="0.35">
      <c r="A108" s="29">
        <v>1.6607775688280632E-2</v>
      </c>
      <c r="B108" s="29">
        <v>1.3548041269662463E-2</v>
      </c>
      <c r="C108" s="25">
        <f t="shared" si="1"/>
        <v>1.6126683747148117E-2</v>
      </c>
    </row>
    <row r="109" spans="1:3" x14ac:dyDescent="0.35">
      <c r="A109" s="29">
        <v>4.5453072985715576E-2</v>
      </c>
      <c r="B109" s="29">
        <v>9.231955496228933E-2</v>
      </c>
      <c r="C109" s="25">
        <f t="shared" si="1"/>
        <v>5.2822041563826583E-2</v>
      </c>
    </row>
    <row r="110" spans="1:3" x14ac:dyDescent="0.35">
      <c r="A110" s="29">
        <v>0.21279900696929965</v>
      </c>
      <c r="B110" s="29">
        <v>0.11940419552925591</v>
      </c>
      <c r="C110" s="25">
        <f t="shared" si="1"/>
        <v>0.19811423862666425</v>
      </c>
    </row>
    <row r="111" spans="1:3" x14ac:dyDescent="0.35">
      <c r="A111" s="29">
        <v>7.2410632498792676E-2</v>
      </c>
      <c r="B111" s="29">
        <v>9.359190866682171E-2</v>
      </c>
      <c r="C111" s="25">
        <f t="shared" si="1"/>
        <v>7.5741033073867134E-2</v>
      </c>
    </row>
    <row r="112" spans="1:3" x14ac:dyDescent="0.35">
      <c r="A112" s="29">
        <v>-9.6699437087275159E-2</v>
      </c>
      <c r="B112" s="29">
        <v>0.10595145381333214</v>
      </c>
      <c r="C112" s="25">
        <f t="shared" si="1"/>
        <v>-6.4835981918627827E-2</v>
      </c>
    </row>
    <row r="113" spans="1:3" x14ac:dyDescent="0.35">
      <c r="A113" s="29">
        <v>-2.5475173613030921E-2</v>
      </c>
      <c r="B113" s="29">
        <v>0.20124023691390996</v>
      </c>
      <c r="C113" s="25">
        <f t="shared" si="1"/>
        <v>1.017202382717047E-2</v>
      </c>
    </row>
    <row r="114" spans="1:3" x14ac:dyDescent="0.35">
      <c r="A114" s="29">
        <v>0.22465371646092369</v>
      </c>
      <c r="B114" s="29">
        <v>-4.6578487302792099E-2</v>
      </c>
      <c r="C114" s="25">
        <f t="shared" si="1"/>
        <v>0.18200699960460676</v>
      </c>
    </row>
    <row r="115" spans="1:3" x14ac:dyDescent="0.35">
      <c r="A115" s="29">
        <v>0.2602222398736862</v>
      </c>
      <c r="B115" s="29">
        <v>-2.7298776901636512E-2</v>
      </c>
      <c r="C115" s="25">
        <f t="shared" si="1"/>
        <v>0.21501438025190087</v>
      </c>
    </row>
    <row r="116" spans="1:3" x14ac:dyDescent="0.35">
      <c r="A116" s="29">
        <v>-9.631524714713452E-2</v>
      </c>
      <c r="B116" s="29">
        <v>9.8108674809419802E-2</v>
      </c>
      <c r="C116" s="25">
        <f t="shared" si="1"/>
        <v>-6.5745344920483645E-2</v>
      </c>
    </row>
    <row r="117" spans="1:3" x14ac:dyDescent="0.35">
      <c r="A117" s="29">
        <v>6.6919111836064943E-2</v>
      </c>
      <c r="B117" s="29">
        <v>5.1319569788205212E-2</v>
      </c>
      <c r="C117" s="25">
        <f t="shared" si="1"/>
        <v>6.4466345374074932E-2</v>
      </c>
    </row>
    <row r="118" spans="1:3" x14ac:dyDescent="0.35">
      <c r="A118" s="29">
        <v>0.11382960992022048</v>
      </c>
      <c r="B118" s="29">
        <v>2.3845631132830936E-2</v>
      </c>
      <c r="C118" s="25">
        <f t="shared" si="1"/>
        <v>9.9681137829886787E-2</v>
      </c>
    </row>
    <row r="119" spans="1:3" x14ac:dyDescent="0.35">
      <c r="A119" s="29">
        <v>-5.0008875432069971E-2</v>
      </c>
      <c r="B119" s="29">
        <v>-5.4422034164970448E-2</v>
      </c>
      <c r="C119" s="25">
        <f t="shared" si="1"/>
        <v>-5.0702770656576378E-2</v>
      </c>
    </row>
    <row r="120" spans="1:3" x14ac:dyDescent="0.35">
      <c r="A120" s="29">
        <v>0.39358395882668495</v>
      </c>
      <c r="B120" s="29">
        <v>-3.535817560516101E-2</v>
      </c>
      <c r="C120" s="25">
        <f t="shared" si="1"/>
        <v>0.32613999936678573</v>
      </c>
    </row>
    <row r="121" spans="1:3" x14ac:dyDescent="0.35">
      <c r="A121" s="29">
        <v>9.0829792574929819E-2</v>
      </c>
      <c r="B121" s="29">
        <v>-4.6019470575326391E-2</v>
      </c>
      <c r="C121" s="25">
        <f t="shared" si="1"/>
        <v>6.9312540211162676E-2</v>
      </c>
    </row>
    <row r="122" spans="1:3" x14ac:dyDescent="0.35">
      <c r="A122" s="29">
        <v>0.21077917781170319</v>
      </c>
      <c r="B122" s="29">
        <v>-0.10574053851397473</v>
      </c>
      <c r="C122" s="25">
        <f t="shared" si="1"/>
        <v>0.1610117588464309</v>
      </c>
    </row>
    <row r="123" spans="1:3" x14ac:dyDescent="0.35">
      <c r="A123" s="29">
        <v>8.1521892209659039E-2</v>
      </c>
      <c r="B123" s="29">
        <v>0.21729032267239484</v>
      </c>
      <c r="C123" s="25">
        <f t="shared" si="1"/>
        <v>0.10286920175338449</v>
      </c>
    </row>
    <row r="124" spans="1:3" x14ac:dyDescent="0.35">
      <c r="A124" s="29">
        <v>2.0673923073814576E-2</v>
      </c>
      <c r="B124" s="29">
        <v>-6.9957084307013556E-2</v>
      </c>
      <c r="C124" s="25">
        <f t="shared" si="1"/>
        <v>6.4237165845436733E-3</v>
      </c>
    </row>
    <row r="125" spans="1:3" x14ac:dyDescent="0.35">
      <c r="A125" s="29">
        <v>6.8330262574246653E-2</v>
      </c>
      <c r="B125" s="29">
        <v>5.790946805934756E-2</v>
      </c>
      <c r="C125" s="25">
        <f t="shared" si="1"/>
        <v>6.6691767340539415E-2</v>
      </c>
    </row>
    <row r="126" spans="1:3" x14ac:dyDescent="0.35">
      <c r="A126" s="29">
        <v>-0.1427185073379155</v>
      </c>
      <c r="B126" s="29">
        <v>0.17991061745429116</v>
      </c>
      <c r="C126" s="25">
        <f t="shared" si="1"/>
        <v>-9.1990486315010653E-2</v>
      </c>
    </row>
    <row r="127" spans="1:3" x14ac:dyDescent="0.35">
      <c r="A127" s="29">
        <v>5.5113453233209583E-2</v>
      </c>
      <c r="B127" s="29">
        <v>5.7718035474834818E-2</v>
      </c>
      <c r="C127" s="25">
        <f t="shared" si="1"/>
        <v>5.5522980125098681E-2</v>
      </c>
    </row>
    <row r="128" spans="1:3" x14ac:dyDescent="0.35">
      <c r="A128" s="29">
        <v>3.8753005518730774E-2</v>
      </c>
      <c r="B128" s="29">
        <v>-0.13997011689261246</v>
      </c>
      <c r="C128" s="25">
        <f t="shared" si="1"/>
        <v>1.0651790797954825E-2</v>
      </c>
    </row>
    <row r="129" spans="1:3" x14ac:dyDescent="0.35">
      <c r="A129" s="29">
        <v>9.2661305651348114E-3</v>
      </c>
      <c r="B129" s="29">
        <v>-5.717033859345344E-2</v>
      </c>
      <c r="C129" s="25">
        <f t="shared" si="1"/>
        <v>-1.1798904081268208E-3</v>
      </c>
    </row>
    <row r="130" spans="1:3" x14ac:dyDescent="0.35">
      <c r="A130" s="29">
        <v>0.32320616612335368</v>
      </c>
      <c r="B130" s="29">
        <v>-3.6098939536925265E-2</v>
      </c>
      <c r="C130" s="25">
        <f t="shared" si="1"/>
        <v>0.26671146197873907</v>
      </c>
    </row>
    <row r="131" spans="1:3" x14ac:dyDescent="0.35">
      <c r="A131" s="29">
        <v>8.761363670922645E-2</v>
      </c>
      <c r="B131" s="29">
        <v>0.11581171838564175</v>
      </c>
      <c r="C131" s="25">
        <f t="shared" ref="C131:C194" si="2">SUMPRODUCT(A131:B131,$F$4:$G$4)</f>
        <v>9.2047312314328972E-2</v>
      </c>
    </row>
    <row r="132" spans="1:3" x14ac:dyDescent="0.35">
      <c r="A132" s="29">
        <v>-0.24739473838265066</v>
      </c>
      <c r="B132" s="29">
        <v>0.13308034369279381</v>
      </c>
      <c r="C132" s="25">
        <f t="shared" si="2"/>
        <v>-0.18757141035965991</v>
      </c>
    </row>
    <row r="133" spans="1:3" x14ac:dyDescent="0.35">
      <c r="A133" s="29">
        <v>-0.23198825721400604</v>
      </c>
      <c r="B133" s="29">
        <v>2.9447421478067837E-2</v>
      </c>
      <c r="C133" s="25">
        <f t="shared" si="2"/>
        <v>-0.19088187968726988</v>
      </c>
    </row>
    <row r="134" spans="1:3" x14ac:dyDescent="0.35">
      <c r="A134" s="29">
        <v>-4.6517954514265436E-2</v>
      </c>
      <c r="B134" s="29">
        <v>0.22444466659907641</v>
      </c>
      <c r="C134" s="25">
        <f t="shared" si="2"/>
        <v>-3.9136250101888675E-3</v>
      </c>
    </row>
    <row r="135" spans="1:3" x14ac:dyDescent="0.35">
      <c r="A135" s="29">
        <v>-0.15113363192069362</v>
      </c>
      <c r="B135" s="29">
        <v>7.2632280715370368E-2</v>
      </c>
      <c r="C135" s="25">
        <f t="shared" si="2"/>
        <v>-0.11595019357574375</v>
      </c>
    </row>
    <row r="136" spans="1:3" x14ac:dyDescent="0.35">
      <c r="A136" s="29">
        <v>8.7935071965608971E-2</v>
      </c>
      <c r="B136" s="29">
        <v>2.1500969928110056E-2</v>
      </c>
      <c r="C136" s="25">
        <f t="shared" si="2"/>
        <v>7.7489423182454054E-2</v>
      </c>
    </row>
    <row r="137" spans="1:3" x14ac:dyDescent="0.35">
      <c r="A137" s="29">
        <v>-0.25824461988049874</v>
      </c>
      <c r="B137" s="29">
        <v>9.3979297405518233E-2</v>
      </c>
      <c r="C137" s="25">
        <f t="shared" si="2"/>
        <v>-0.20286331389219769</v>
      </c>
    </row>
    <row r="138" spans="1:3" x14ac:dyDescent="0.35">
      <c r="A138" s="29">
        <v>8.7571909464030095E-2</v>
      </c>
      <c r="B138" s="29">
        <v>-2.9596677008178987E-2</v>
      </c>
      <c r="C138" s="25">
        <f t="shared" si="2"/>
        <v>6.9149113562964437E-2</v>
      </c>
    </row>
    <row r="139" spans="1:3" x14ac:dyDescent="0.35">
      <c r="A139" s="29">
        <v>-0.13705775108232751</v>
      </c>
      <c r="B139" s="29">
        <v>0.18849683614787821</v>
      </c>
      <c r="C139" s="25">
        <f t="shared" si="2"/>
        <v>-8.5869750136183823E-2</v>
      </c>
    </row>
    <row r="140" spans="1:3" x14ac:dyDescent="0.35">
      <c r="A140" s="29">
        <v>0.13809054128260373</v>
      </c>
      <c r="B140" s="29">
        <v>7.6844164132449364E-2</v>
      </c>
      <c r="C140" s="25">
        <f t="shared" si="2"/>
        <v>0.12846057526620386</v>
      </c>
    </row>
    <row r="141" spans="1:3" x14ac:dyDescent="0.35">
      <c r="A141" s="29">
        <v>0.27974000130898502</v>
      </c>
      <c r="B141" s="29">
        <v>2.8694148096459756E-2</v>
      </c>
      <c r="C141" s="25">
        <f t="shared" si="2"/>
        <v>0.2402672496543406</v>
      </c>
    </row>
    <row r="142" spans="1:3" x14ac:dyDescent="0.35">
      <c r="A142" s="29">
        <v>-9.2964390986399137E-2</v>
      </c>
      <c r="B142" s="29">
        <v>-5.5781821380488622E-2</v>
      </c>
      <c r="C142" s="25">
        <f t="shared" si="2"/>
        <v>-8.7118055278582684E-2</v>
      </c>
    </row>
    <row r="143" spans="1:3" x14ac:dyDescent="0.35">
      <c r="A143" s="29">
        <v>-4.9794156268741591E-2</v>
      </c>
      <c r="B143" s="29">
        <v>8.9041400543259708E-2</v>
      </c>
      <c r="C143" s="25">
        <f t="shared" si="2"/>
        <v>-2.7964592526714453E-2</v>
      </c>
    </row>
    <row r="144" spans="1:3" x14ac:dyDescent="0.35">
      <c r="A144" s="29">
        <v>0.33365166028213578</v>
      </c>
      <c r="B144" s="29">
        <v>-7.3252242285432659E-2</v>
      </c>
      <c r="C144" s="25">
        <f t="shared" si="2"/>
        <v>0.26967284331375446</v>
      </c>
    </row>
    <row r="145" spans="1:3" x14ac:dyDescent="0.35">
      <c r="A145" s="29">
        <v>-4.6456011471450065E-2</v>
      </c>
      <c r="B145" s="29">
        <v>7.7867460938508576E-2</v>
      </c>
      <c r="C145" s="25">
        <f t="shared" si="2"/>
        <v>-2.6908229707745958E-2</v>
      </c>
    </row>
    <row r="146" spans="1:3" x14ac:dyDescent="0.35">
      <c r="A146" s="29">
        <v>0.10809950951380948</v>
      </c>
      <c r="B146" s="29">
        <v>0.10555290191566667</v>
      </c>
      <c r="C146" s="25">
        <f t="shared" si="2"/>
        <v>0.1076990981626679</v>
      </c>
    </row>
    <row r="147" spans="1:3" x14ac:dyDescent="0.35">
      <c r="A147" s="29">
        <v>0.36193456146279623</v>
      </c>
      <c r="B147" s="29">
        <v>-6.5002278214156897E-2</v>
      </c>
      <c r="C147" s="25">
        <f t="shared" si="2"/>
        <v>0.29480590098450271</v>
      </c>
    </row>
    <row r="148" spans="1:3" x14ac:dyDescent="0.35">
      <c r="A148" s="29">
        <v>0.14445548335721053</v>
      </c>
      <c r="B148" s="29">
        <v>-2.6016497503996636E-2</v>
      </c>
      <c r="C148" s="25">
        <f t="shared" si="2"/>
        <v>0.11765162231548588</v>
      </c>
    </row>
    <row r="149" spans="1:3" x14ac:dyDescent="0.35">
      <c r="A149" s="29">
        <v>-0.11188081659948509</v>
      </c>
      <c r="B149" s="29">
        <v>7.3221263812798768E-2</v>
      </c>
      <c r="C149" s="25">
        <f t="shared" si="2"/>
        <v>-8.2776617675766051E-2</v>
      </c>
    </row>
    <row r="150" spans="1:3" x14ac:dyDescent="0.35">
      <c r="A150" s="29">
        <v>0.24405412156980635</v>
      </c>
      <c r="B150" s="29">
        <v>8.5754906387626006E-2</v>
      </c>
      <c r="C150" s="25">
        <f t="shared" si="2"/>
        <v>0.21916422385569598</v>
      </c>
    </row>
    <row r="151" spans="1:3" x14ac:dyDescent="0.35">
      <c r="A151" s="29">
        <v>0.19990743564713723</v>
      </c>
      <c r="B151" s="29">
        <v>0.21469816014933235</v>
      </c>
      <c r="C151" s="25">
        <f t="shared" si="2"/>
        <v>0.20223302910983099</v>
      </c>
    </row>
    <row r="152" spans="1:3" x14ac:dyDescent="0.35">
      <c r="A152" s="29">
        <v>0.1566634550187094</v>
      </c>
      <c r="B152" s="29">
        <v>-1.491927029741455E-2</v>
      </c>
      <c r="C152" s="25">
        <f t="shared" si="2"/>
        <v>0.12968494803298827</v>
      </c>
    </row>
    <row r="153" spans="1:3" x14ac:dyDescent="0.35">
      <c r="A153" s="29">
        <v>-0.13160540282709215</v>
      </c>
      <c r="B153" s="29">
        <v>8.097500835498922E-2</v>
      </c>
      <c r="C153" s="25">
        <f t="shared" si="2"/>
        <v>-9.8180697061771641E-2</v>
      </c>
    </row>
    <row r="154" spans="1:3" x14ac:dyDescent="0.35">
      <c r="A154" s="29">
        <v>-2.9727622452106611E-2</v>
      </c>
      <c r="B154" s="29">
        <v>7.2766908168962405E-3</v>
      </c>
      <c r="C154" s="25">
        <f t="shared" si="2"/>
        <v>-2.3909314564816094E-2</v>
      </c>
    </row>
    <row r="155" spans="1:3" x14ac:dyDescent="0.35">
      <c r="A155" s="29">
        <v>8.0786361753954553E-2</v>
      </c>
      <c r="B155" s="29">
        <v>0.1072674175532784</v>
      </c>
      <c r="C155" s="25">
        <f t="shared" si="2"/>
        <v>8.4950063825681668E-2</v>
      </c>
    </row>
    <row r="156" spans="1:3" x14ac:dyDescent="0.35">
      <c r="A156" s="29">
        <v>-2.4652870780320635E-3</v>
      </c>
      <c r="B156" s="29">
        <v>8.2979806913298593E-2</v>
      </c>
      <c r="C156" s="25">
        <f t="shared" si="2"/>
        <v>1.096952147215065E-2</v>
      </c>
    </row>
    <row r="157" spans="1:3" x14ac:dyDescent="0.35">
      <c r="A157" s="29">
        <v>0.10302155770909655</v>
      </c>
      <c r="B157" s="29">
        <v>0.10955392513327747</v>
      </c>
      <c r="C157" s="25">
        <f t="shared" si="2"/>
        <v>0.10404866297194787</v>
      </c>
    </row>
    <row r="158" spans="1:3" x14ac:dyDescent="0.35">
      <c r="A158" s="29">
        <v>0.16216375975528632</v>
      </c>
      <c r="B158" s="29">
        <v>1.0073354627870679E-2</v>
      </c>
      <c r="C158" s="25">
        <f t="shared" si="2"/>
        <v>0.13825009333209917</v>
      </c>
    </row>
    <row r="159" spans="1:3" x14ac:dyDescent="0.35">
      <c r="A159" s="29">
        <v>0.20030166700187044</v>
      </c>
      <c r="B159" s="29">
        <v>8.7104914604567596E-2</v>
      </c>
      <c r="C159" s="25">
        <f t="shared" si="2"/>
        <v>0.1825033754216131</v>
      </c>
    </row>
    <row r="160" spans="1:3" x14ac:dyDescent="0.35">
      <c r="A160" s="29">
        <v>8.8197387457894308E-2</v>
      </c>
      <c r="B160" s="29">
        <v>0.24010203145551645</v>
      </c>
      <c r="C160" s="25">
        <f t="shared" si="2"/>
        <v>0.11208184605769149</v>
      </c>
    </row>
    <row r="161" spans="1:3" x14ac:dyDescent="0.35">
      <c r="A161" s="29">
        <v>9.7699140332160456E-3</v>
      </c>
      <c r="B161" s="29">
        <v>-8.0533533676998129E-2</v>
      </c>
      <c r="C161" s="25">
        <f t="shared" si="2"/>
        <v>-4.4287891893616763E-3</v>
      </c>
    </row>
    <row r="162" spans="1:3" x14ac:dyDescent="0.35">
      <c r="A162" s="29">
        <v>2.9787413159410303E-3</v>
      </c>
      <c r="B162" s="29">
        <v>-0.10400422683002837</v>
      </c>
      <c r="C162" s="25">
        <f t="shared" si="2"/>
        <v>-1.3842536864374673E-2</v>
      </c>
    </row>
    <row r="163" spans="1:3" x14ac:dyDescent="0.35">
      <c r="A163" s="29">
        <v>4.287979142203667E-2</v>
      </c>
      <c r="B163" s="29">
        <v>4.9535197008644748E-2</v>
      </c>
      <c r="C163" s="25">
        <f t="shared" si="2"/>
        <v>4.3926242373205013E-2</v>
      </c>
    </row>
    <row r="164" spans="1:3" x14ac:dyDescent="0.35">
      <c r="A164" s="29">
        <v>1.4119971786432858E-2</v>
      </c>
      <c r="B164" s="29">
        <v>9.3602143753063471E-3</v>
      </c>
      <c r="C164" s="25">
        <f t="shared" si="2"/>
        <v>1.3371579730473673E-2</v>
      </c>
    </row>
    <row r="165" spans="1:3" x14ac:dyDescent="0.35">
      <c r="A165" s="29">
        <v>0.15949623433732707</v>
      </c>
      <c r="B165" s="29">
        <v>2.6116843581042055E-2</v>
      </c>
      <c r="C165" s="25">
        <f t="shared" si="2"/>
        <v>0.13852456123538739</v>
      </c>
    </row>
    <row r="166" spans="1:3" x14ac:dyDescent="0.35">
      <c r="A166" s="29">
        <v>0.13285476729854043</v>
      </c>
      <c r="B166" s="29">
        <v>0.22772442634768114</v>
      </c>
      <c r="C166" s="25">
        <f t="shared" si="2"/>
        <v>0.14777143070200785</v>
      </c>
    </row>
    <row r="167" spans="1:3" x14ac:dyDescent="0.35">
      <c r="A167" s="29">
        <v>7.7649928504130897E-2</v>
      </c>
      <c r="B167" s="29">
        <v>1.8483188107558758E-2</v>
      </c>
      <c r="C167" s="25">
        <f t="shared" si="2"/>
        <v>6.8346950502293155E-2</v>
      </c>
    </row>
    <row r="168" spans="1:3" x14ac:dyDescent="0.35">
      <c r="A168" s="29">
        <v>-5.2372524803409592E-4</v>
      </c>
      <c r="B168" s="29">
        <v>-0.10534694100391619</v>
      </c>
      <c r="C168" s="25">
        <f t="shared" si="2"/>
        <v>-1.7005418573079273E-2</v>
      </c>
    </row>
    <row r="169" spans="1:3" x14ac:dyDescent="0.35">
      <c r="A169" s="29">
        <v>0.27682402592290578</v>
      </c>
      <c r="B169" s="29">
        <v>0.14564137762432749</v>
      </c>
      <c r="C169" s="25">
        <f t="shared" si="2"/>
        <v>0.25619775374423437</v>
      </c>
    </row>
    <row r="170" spans="1:3" x14ac:dyDescent="0.35">
      <c r="A170" s="29">
        <v>-4.9290272477136271E-2</v>
      </c>
      <c r="B170" s="29">
        <v>0.20828002542927121</v>
      </c>
      <c r="C170" s="25">
        <f t="shared" si="2"/>
        <v>-8.7916612761560486E-3</v>
      </c>
    </row>
    <row r="171" spans="1:3" x14ac:dyDescent="0.35">
      <c r="A171" s="29">
        <v>0.24282247081241259</v>
      </c>
      <c r="B171" s="29">
        <v>7.4166293739675176E-2</v>
      </c>
      <c r="C171" s="25">
        <f t="shared" si="2"/>
        <v>0.21630411447462405</v>
      </c>
    </row>
    <row r="172" spans="1:3" x14ac:dyDescent="0.35">
      <c r="A172" s="29">
        <v>0.17536485876863289</v>
      </c>
      <c r="B172" s="29">
        <v>-2.3169798915177925E-2</v>
      </c>
      <c r="C172" s="25">
        <f t="shared" si="2"/>
        <v>0.14414861226501641</v>
      </c>
    </row>
    <row r="173" spans="1:3" x14ac:dyDescent="0.35">
      <c r="A173" s="29">
        <v>-0.11403847074526938</v>
      </c>
      <c r="B173" s="29">
        <v>0.19130901545959561</v>
      </c>
      <c r="C173" s="25">
        <f t="shared" si="2"/>
        <v>-6.6027697664978305E-2</v>
      </c>
    </row>
    <row r="174" spans="1:3" x14ac:dyDescent="0.35">
      <c r="A174" s="29">
        <v>1.807920084096952E-2</v>
      </c>
      <c r="B174" s="29">
        <v>0.18371802009765542</v>
      </c>
      <c r="C174" s="25">
        <f t="shared" si="2"/>
        <v>4.4123128247938924E-2</v>
      </c>
    </row>
    <row r="175" spans="1:3" x14ac:dyDescent="0.35">
      <c r="A175" s="29">
        <v>0.20605807044819208</v>
      </c>
      <c r="B175" s="29">
        <v>0.30190222624485885</v>
      </c>
      <c r="C175" s="25">
        <f t="shared" si="2"/>
        <v>0.22112795712785036</v>
      </c>
    </row>
    <row r="176" spans="1:3" x14ac:dyDescent="0.35">
      <c r="A176" s="29">
        <v>0.32353851507740228</v>
      </c>
      <c r="B176" s="29">
        <v>9.5985192696227087E-2</v>
      </c>
      <c r="C176" s="25">
        <f t="shared" si="2"/>
        <v>0.28775957004564573</v>
      </c>
    </row>
    <row r="177" spans="1:3" x14ac:dyDescent="0.35">
      <c r="A177" s="29">
        <v>1.1512028303136287E-2</v>
      </c>
      <c r="B177" s="29">
        <v>9.5496048017703825E-3</v>
      </c>
      <c r="C177" s="25">
        <f t="shared" si="2"/>
        <v>1.1203470107414657E-2</v>
      </c>
    </row>
    <row r="178" spans="1:3" x14ac:dyDescent="0.35">
      <c r="A178" s="29">
        <v>7.2036840933697527E-2</v>
      </c>
      <c r="B178" s="29">
        <v>0.18696827336470395</v>
      </c>
      <c r="C178" s="25">
        <f t="shared" si="2"/>
        <v>9.0107881867487083E-2</v>
      </c>
    </row>
    <row r="179" spans="1:3" x14ac:dyDescent="0.35">
      <c r="A179" s="29">
        <v>7.0177920300450308E-3</v>
      </c>
      <c r="B179" s="29">
        <v>7.7939557709177168E-3</v>
      </c>
      <c r="C179" s="25">
        <f t="shared" si="2"/>
        <v>7.1398307659761573E-3</v>
      </c>
    </row>
    <row r="180" spans="1:3" x14ac:dyDescent="0.35">
      <c r="A180" s="29">
        <v>0.34246907368970947</v>
      </c>
      <c r="B180" s="29">
        <v>-9.4919988760595639E-2</v>
      </c>
      <c r="C180" s="25">
        <f t="shared" si="2"/>
        <v>0.27369697641095914</v>
      </c>
    </row>
    <row r="181" spans="1:3" x14ac:dyDescent="0.35">
      <c r="A181" s="29">
        <v>0.23311915358934232</v>
      </c>
      <c r="B181" s="29">
        <v>-2.2191731804782414E-3</v>
      </c>
      <c r="C181" s="25">
        <f t="shared" si="2"/>
        <v>0.19611614713242778</v>
      </c>
    </row>
    <row r="182" spans="1:3" x14ac:dyDescent="0.35">
      <c r="A182" s="29">
        <v>0.38102162753933866</v>
      </c>
      <c r="B182" s="29">
        <v>-7.4837959615997138E-2</v>
      </c>
      <c r="C182" s="25">
        <f t="shared" si="2"/>
        <v>0.30934534990754564</v>
      </c>
    </row>
    <row r="183" spans="1:3" x14ac:dyDescent="0.35">
      <c r="A183" s="29">
        <v>0.35190586569597249</v>
      </c>
      <c r="B183" s="29">
        <v>-4.7790948223634541E-2</v>
      </c>
      <c r="C183" s="25">
        <f t="shared" si="2"/>
        <v>0.28906024259123636</v>
      </c>
    </row>
    <row r="184" spans="1:3" x14ac:dyDescent="0.35">
      <c r="A184" s="29">
        <v>-0.32672006784705931</v>
      </c>
      <c r="B184" s="29">
        <v>0.26215057013787296</v>
      </c>
      <c r="C184" s="25">
        <f t="shared" si="2"/>
        <v>-0.2341300323916099</v>
      </c>
    </row>
    <row r="185" spans="1:3" x14ac:dyDescent="0.35">
      <c r="A185" s="29">
        <v>0.26368656882173103</v>
      </c>
      <c r="B185" s="29">
        <v>-2.5045478689449105E-2</v>
      </c>
      <c r="C185" s="25">
        <f t="shared" si="2"/>
        <v>0.2182882949195625</v>
      </c>
    </row>
    <row r="186" spans="1:3" x14ac:dyDescent="0.35">
      <c r="A186" s="29">
        <v>0.24551420786184441</v>
      </c>
      <c r="B186" s="29">
        <v>-1.11241920281396E-2</v>
      </c>
      <c r="C186" s="25">
        <f t="shared" si="2"/>
        <v>0.2051621220007534</v>
      </c>
    </row>
    <row r="187" spans="1:3" x14ac:dyDescent="0.35">
      <c r="A187" s="29">
        <v>2.8143364056821253E-2</v>
      </c>
      <c r="B187" s="29">
        <v>0.25794698669611971</v>
      </c>
      <c r="C187" s="25">
        <f t="shared" si="2"/>
        <v>6.4276131078069496E-2</v>
      </c>
    </row>
    <row r="188" spans="1:3" x14ac:dyDescent="0.35">
      <c r="A188" s="29">
        <v>5.6145725492641324E-3</v>
      </c>
      <c r="B188" s="29">
        <v>0.21529537680167271</v>
      </c>
      <c r="C188" s="25">
        <f t="shared" si="2"/>
        <v>3.8583363736564652E-2</v>
      </c>
    </row>
    <row r="189" spans="1:3" x14ac:dyDescent="0.35">
      <c r="A189" s="29">
        <v>0.5587775901029205</v>
      </c>
      <c r="B189" s="29">
        <v>-0.1536029149433446</v>
      </c>
      <c r="C189" s="25">
        <f t="shared" si="2"/>
        <v>0.44676769868481181</v>
      </c>
    </row>
    <row r="190" spans="1:3" x14ac:dyDescent="0.35">
      <c r="A190" s="29">
        <v>4.8156321470704151E-2</v>
      </c>
      <c r="B190" s="29">
        <v>-4.2762557968672787E-2</v>
      </c>
      <c r="C190" s="25">
        <f t="shared" si="2"/>
        <v>3.3860851926377777E-2</v>
      </c>
    </row>
    <row r="191" spans="1:3" x14ac:dyDescent="0.35">
      <c r="A191" s="29">
        <v>0.28326669914880764</v>
      </c>
      <c r="B191" s="29">
        <v>-0.11376871061554029</v>
      </c>
      <c r="C191" s="25">
        <f t="shared" si="2"/>
        <v>0.2208395372292648</v>
      </c>
    </row>
    <row r="192" spans="1:3" x14ac:dyDescent="0.35">
      <c r="A192" s="29">
        <v>0.13584653542223973</v>
      </c>
      <c r="B192" s="29">
        <v>-0.19377546464295708</v>
      </c>
      <c r="C192" s="25">
        <f t="shared" si="2"/>
        <v>8.4019001997634429E-2</v>
      </c>
    </row>
    <row r="193" spans="1:3" x14ac:dyDescent="0.35">
      <c r="A193" s="29">
        <v>-4.8931448234681707E-2</v>
      </c>
      <c r="B193" s="29">
        <v>0.27086800713667947</v>
      </c>
      <c r="C193" s="25">
        <f t="shared" si="2"/>
        <v>1.3516547109696728E-3</v>
      </c>
    </row>
    <row r="194" spans="1:3" x14ac:dyDescent="0.35">
      <c r="A194" s="29">
        <v>0.21816187646870575</v>
      </c>
      <c r="B194" s="29">
        <v>-4.6116145962617622E-3</v>
      </c>
      <c r="C194" s="25">
        <f t="shared" si="2"/>
        <v>0.183134479777945</v>
      </c>
    </row>
    <row r="195" spans="1:3" x14ac:dyDescent="0.35">
      <c r="A195" s="29">
        <v>5.3326342416379985E-2</v>
      </c>
      <c r="B195" s="29">
        <v>3.3808089677722149E-2</v>
      </c>
      <c r="C195" s="25">
        <f t="shared" ref="C195:C251" si="3">SUMPRODUCT(A195:B195,$F$4:$G$4)</f>
        <v>5.0257424395123526E-2</v>
      </c>
    </row>
    <row r="196" spans="1:3" x14ac:dyDescent="0.35">
      <c r="A196" s="29">
        <v>0.22567560788560781</v>
      </c>
      <c r="B196" s="29">
        <v>6.8089872474635493E-2</v>
      </c>
      <c r="C196" s="25">
        <f t="shared" si="3"/>
        <v>0.20089789290409038</v>
      </c>
    </row>
    <row r="197" spans="1:3" x14ac:dyDescent="0.35">
      <c r="A197" s="29">
        <v>-8.2335040149908445E-3</v>
      </c>
      <c r="B197" s="29">
        <v>9.8193810342899771E-2</v>
      </c>
      <c r="C197" s="25">
        <f t="shared" si="3"/>
        <v>8.5004069226394009E-3</v>
      </c>
    </row>
    <row r="198" spans="1:3" x14ac:dyDescent="0.35">
      <c r="A198" s="29">
        <v>0.11602916290318199</v>
      </c>
      <c r="B198" s="29">
        <v>0.12125718843812874</v>
      </c>
      <c r="C198" s="25">
        <f t="shared" si="3"/>
        <v>0.11685118227113545</v>
      </c>
    </row>
    <row r="199" spans="1:3" x14ac:dyDescent="0.35">
      <c r="A199" s="29">
        <v>9.5952191324127231E-2</v>
      </c>
      <c r="B199" s="29">
        <v>-3.5978470158266607E-2</v>
      </c>
      <c r="C199" s="25">
        <f t="shared" si="3"/>
        <v>7.5208306612680118E-2</v>
      </c>
    </row>
    <row r="200" spans="1:3" x14ac:dyDescent="0.35">
      <c r="A200" s="29">
        <v>2.0387911241674897E-2</v>
      </c>
      <c r="B200" s="29">
        <v>-8.7630076967951109E-3</v>
      </c>
      <c r="C200" s="25">
        <f t="shared" si="3"/>
        <v>1.580441795135239E-2</v>
      </c>
    </row>
    <row r="201" spans="1:3" x14ac:dyDescent="0.35">
      <c r="A201" s="29">
        <v>0.24582509888831358</v>
      </c>
      <c r="B201" s="29">
        <v>-0.13431369954086281</v>
      </c>
      <c r="C201" s="25">
        <f t="shared" si="3"/>
        <v>0.1860546458309309</v>
      </c>
    </row>
    <row r="202" spans="1:3" x14ac:dyDescent="0.35">
      <c r="A202" s="29">
        <v>-3.7576591409374527E-3</v>
      </c>
      <c r="B202" s="29">
        <v>3.8455279602350213E-2</v>
      </c>
      <c r="C202" s="25">
        <f t="shared" si="3"/>
        <v>2.8796177800078397E-3</v>
      </c>
    </row>
    <row r="203" spans="1:3" x14ac:dyDescent="0.35">
      <c r="A203" s="29">
        <v>6.0401957172288578E-2</v>
      </c>
      <c r="B203" s="29">
        <v>0.11810417299674485</v>
      </c>
      <c r="C203" s="25">
        <f t="shared" si="3"/>
        <v>6.947466323779479E-2</v>
      </c>
    </row>
    <row r="204" spans="1:3" x14ac:dyDescent="0.35">
      <c r="A204" s="29">
        <v>3.1369707913487879E-2</v>
      </c>
      <c r="B204" s="29">
        <v>7.4450037260850546E-2</v>
      </c>
      <c r="C204" s="25">
        <f t="shared" si="3"/>
        <v>3.8143367465192028E-2</v>
      </c>
    </row>
    <row r="205" spans="1:3" x14ac:dyDescent="0.35">
      <c r="A205" s="29">
        <v>0.11764024156038623</v>
      </c>
      <c r="B205" s="29">
        <v>8.5942598771877127E-2</v>
      </c>
      <c r="C205" s="25">
        <f t="shared" si="3"/>
        <v>0.11265631864026041</v>
      </c>
    </row>
    <row r="206" spans="1:3" x14ac:dyDescent="0.35">
      <c r="A206" s="29">
        <v>0.25459731551301334</v>
      </c>
      <c r="B206" s="29">
        <v>-9.5828159687011236E-2</v>
      </c>
      <c r="C206" s="25">
        <f t="shared" si="3"/>
        <v>0.19949878439200133</v>
      </c>
    </row>
    <row r="207" spans="1:3" x14ac:dyDescent="0.35">
      <c r="A207" s="29">
        <v>0.23416738747535729</v>
      </c>
      <c r="B207" s="29">
        <v>-5.7865355839122334E-2</v>
      </c>
      <c r="C207" s="25">
        <f t="shared" si="3"/>
        <v>0.18825013449401284</v>
      </c>
    </row>
    <row r="208" spans="1:3" x14ac:dyDescent="0.35">
      <c r="A208" s="29">
        <v>-0.11242731748462187</v>
      </c>
      <c r="B208" s="29">
        <v>-9.0402932927175078E-3</v>
      </c>
      <c r="C208" s="25">
        <f t="shared" si="3"/>
        <v>-9.6171441205379071E-2</v>
      </c>
    </row>
    <row r="209" spans="1:3" x14ac:dyDescent="0.35">
      <c r="A209" s="29">
        <v>0.27340123905930991</v>
      </c>
      <c r="B209" s="29">
        <v>6.6952228807578604E-2</v>
      </c>
      <c r="C209" s="25">
        <f t="shared" si="3"/>
        <v>0.24094059329785603</v>
      </c>
    </row>
    <row r="210" spans="1:3" x14ac:dyDescent="0.35">
      <c r="A210" s="29">
        <v>0.20688944475625343</v>
      </c>
      <c r="B210" s="29">
        <v>-0.1878619779742734</v>
      </c>
      <c r="C210" s="25">
        <f t="shared" si="3"/>
        <v>0.14482140150692469</v>
      </c>
    </row>
    <row r="211" spans="1:3" x14ac:dyDescent="0.35">
      <c r="A211" s="29">
        <v>-1.4709490119600183E-2</v>
      </c>
      <c r="B211" s="29">
        <v>0.27767077939446771</v>
      </c>
      <c r="C211" s="25">
        <f t="shared" si="3"/>
        <v>3.1262405530381454E-2</v>
      </c>
    </row>
    <row r="212" spans="1:3" x14ac:dyDescent="0.35">
      <c r="A212" s="29">
        <v>-3.4380106226611626E-2</v>
      </c>
      <c r="B212" s="29">
        <v>0.12473949164428211</v>
      </c>
      <c r="C212" s="25">
        <f t="shared" si="3"/>
        <v>-9.3612170883491629E-3</v>
      </c>
    </row>
    <row r="213" spans="1:3" x14ac:dyDescent="0.35">
      <c r="A213" s="29">
        <v>8.8972385998175862E-2</v>
      </c>
      <c r="B213" s="29">
        <v>0.16318729254176226</v>
      </c>
      <c r="C213" s="25">
        <f t="shared" si="3"/>
        <v>0.10064143584536719</v>
      </c>
    </row>
    <row r="214" spans="1:3" x14ac:dyDescent="0.35">
      <c r="A214" s="29">
        <v>-0.23343258503600148</v>
      </c>
      <c r="B214" s="29">
        <v>0.18117704407683644</v>
      </c>
      <c r="C214" s="25">
        <f t="shared" si="3"/>
        <v>-0.16824217175424661</v>
      </c>
    </row>
    <row r="215" spans="1:3" x14ac:dyDescent="0.35">
      <c r="A215" s="29">
        <v>-7.7536506379841635E-2</v>
      </c>
      <c r="B215" s="29">
        <v>0.24866481595328788</v>
      </c>
      <c r="C215" s="25">
        <f t="shared" si="3"/>
        <v>-2.6246817181223833E-2</v>
      </c>
    </row>
    <row r="216" spans="1:3" x14ac:dyDescent="0.35">
      <c r="A216" s="29">
        <v>0.30089156947701501</v>
      </c>
      <c r="B216" s="29">
        <v>4.0889420612410639E-2</v>
      </c>
      <c r="C216" s="25">
        <f t="shared" si="3"/>
        <v>0.26001059048263914</v>
      </c>
    </row>
    <row r="217" spans="1:3" x14ac:dyDescent="0.35">
      <c r="A217" s="29">
        <v>-0.12074676616928853</v>
      </c>
      <c r="B217" s="29">
        <v>1.517373058679683E-2</v>
      </c>
      <c r="C217" s="25">
        <f t="shared" si="3"/>
        <v>-9.9375546750312765E-2</v>
      </c>
    </row>
    <row r="218" spans="1:3" x14ac:dyDescent="0.35">
      <c r="A218" s="29">
        <v>9.9090268575505597E-2</v>
      </c>
      <c r="B218" s="29">
        <v>-3.2498724335141713E-2</v>
      </c>
      <c r="C218" s="25">
        <f t="shared" si="3"/>
        <v>7.840010551892021E-2</v>
      </c>
    </row>
    <row r="219" spans="1:3" x14ac:dyDescent="0.35">
      <c r="A219" s="29">
        <v>0.17226295661630417</v>
      </c>
      <c r="B219" s="29">
        <v>5.9721964675173059E-2</v>
      </c>
      <c r="C219" s="25">
        <f t="shared" si="3"/>
        <v>0.15456777237400984</v>
      </c>
    </row>
    <row r="220" spans="1:3" x14ac:dyDescent="0.35">
      <c r="A220" s="29">
        <v>0.44203747136334282</v>
      </c>
      <c r="B220" s="29">
        <v>-0.16467444072629073</v>
      </c>
      <c r="C220" s="25">
        <f t="shared" si="3"/>
        <v>0.34664219466241813</v>
      </c>
    </row>
    <row r="221" spans="1:3" x14ac:dyDescent="0.35">
      <c r="A221" s="29">
        <v>-7.349690833594788E-2</v>
      </c>
      <c r="B221" s="29">
        <v>0.14416460422070637</v>
      </c>
      <c r="C221" s="25">
        <f t="shared" si="3"/>
        <v>-3.9273284563721284E-2</v>
      </c>
    </row>
    <row r="222" spans="1:3" x14ac:dyDescent="0.35">
      <c r="A222" s="29">
        <v>7.6479550652034531E-2</v>
      </c>
      <c r="B222" s="29">
        <v>-0.11903009714473316</v>
      </c>
      <c r="C222" s="25">
        <f t="shared" si="3"/>
        <v>4.5738936239114278E-2</v>
      </c>
    </row>
    <row r="223" spans="1:3" x14ac:dyDescent="0.35">
      <c r="A223" s="29">
        <v>-0.23540901036530218</v>
      </c>
      <c r="B223" s="29">
        <v>6.4898098465886678E-2</v>
      </c>
      <c r="C223" s="25">
        <f t="shared" si="3"/>
        <v>-0.18819075212551073</v>
      </c>
    </row>
    <row r="224" spans="1:3" x14ac:dyDescent="0.35">
      <c r="A224" s="29">
        <v>0.21346640478131867</v>
      </c>
      <c r="B224" s="29">
        <v>0.11223247773906371</v>
      </c>
      <c r="C224" s="25">
        <f t="shared" si="3"/>
        <v>0.19754906693236213</v>
      </c>
    </row>
    <row r="225" spans="1:3" x14ac:dyDescent="0.35">
      <c r="A225" s="29">
        <v>0.32948965061200275</v>
      </c>
      <c r="B225" s="29">
        <v>-0.13257067179325832</v>
      </c>
      <c r="C225" s="25">
        <f t="shared" si="3"/>
        <v>0.2568384113169741</v>
      </c>
    </row>
    <row r="226" spans="1:3" x14ac:dyDescent="0.35">
      <c r="A226" s="29">
        <v>-0.29339471382276017</v>
      </c>
      <c r="B226" s="29">
        <v>0.30817679554723643</v>
      </c>
      <c r="C226" s="25">
        <f t="shared" si="3"/>
        <v>-0.19880767927107068</v>
      </c>
    </row>
    <row r="227" spans="1:3" x14ac:dyDescent="0.35">
      <c r="A227" s="29">
        <v>0.16895153254110604</v>
      </c>
      <c r="B227" s="29">
        <v>0.15060116625697206</v>
      </c>
      <c r="C227" s="25">
        <f t="shared" si="3"/>
        <v>0.16606624508530338</v>
      </c>
    </row>
    <row r="228" spans="1:3" x14ac:dyDescent="0.35">
      <c r="A228" s="29">
        <v>0.33633416227267815</v>
      </c>
      <c r="B228" s="29">
        <v>3.0356434691488833E-2</v>
      </c>
      <c r="C228" s="25">
        <f t="shared" si="3"/>
        <v>0.28822429430190477</v>
      </c>
    </row>
    <row r="229" spans="1:3" x14ac:dyDescent="0.35">
      <c r="A229" s="29">
        <v>0.14794355261788528</v>
      </c>
      <c r="B229" s="29">
        <v>0.13671941790724895</v>
      </c>
      <c r="C229" s="25">
        <f t="shared" si="3"/>
        <v>0.14617874560633048</v>
      </c>
    </row>
    <row r="230" spans="1:3" x14ac:dyDescent="0.35">
      <c r="A230" s="29">
        <v>-0.11097742768900162</v>
      </c>
      <c r="B230" s="29">
        <v>0.21720073586406369</v>
      </c>
      <c r="C230" s="25">
        <f t="shared" si="3"/>
        <v>-5.9376913350128936E-2</v>
      </c>
    </row>
    <row r="231" spans="1:3" x14ac:dyDescent="0.35">
      <c r="A231" s="29">
        <v>0.2670719701393886</v>
      </c>
      <c r="B231" s="29">
        <v>8.3456844729517948E-3</v>
      </c>
      <c r="C231" s="25">
        <f t="shared" si="3"/>
        <v>0.22639159924318328</v>
      </c>
    </row>
    <row r="232" spans="1:3" x14ac:dyDescent="0.35">
      <c r="A232" s="29">
        <v>-1.0264630700950877E-3</v>
      </c>
      <c r="B232" s="29">
        <v>7.2035769468488178E-2</v>
      </c>
      <c r="C232" s="25">
        <f t="shared" si="3"/>
        <v>1.0461348114294129E-2</v>
      </c>
    </row>
    <row r="233" spans="1:3" x14ac:dyDescent="0.35">
      <c r="A233" s="29">
        <v>-8.5566495477911064E-2</v>
      </c>
      <c r="B233" s="29">
        <v>6.4489065300685419E-3</v>
      </c>
      <c r="C233" s="25">
        <f t="shared" si="3"/>
        <v>-7.1098616142782345E-2</v>
      </c>
    </row>
    <row r="234" spans="1:3" x14ac:dyDescent="0.35">
      <c r="A234" s="29">
        <v>0.41109936053435281</v>
      </c>
      <c r="B234" s="29">
        <v>-0.11296624066747545</v>
      </c>
      <c r="C234" s="25">
        <f t="shared" si="3"/>
        <v>0.32869883066194933</v>
      </c>
    </row>
    <row r="235" spans="1:3" x14ac:dyDescent="0.35">
      <c r="A235" s="29">
        <v>-0.14920500824349212</v>
      </c>
      <c r="B235" s="29">
        <v>5.5745369278840419E-2</v>
      </c>
      <c r="C235" s="25">
        <f t="shared" si="3"/>
        <v>-0.11697999735428208</v>
      </c>
    </row>
    <row r="236" spans="1:3" x14ac:dyDescent="0.35">
      <c r="A236" s="29">
        <v>0.18078034520573277</v>
      </c>
      <c r="B236" s="29">
        <v>-2.2538020118392246E-2</v>
      </c>
      <c r="C236" s="25">
        <f t="shared" si="3"/>
        <v>0.14881194087414093</v>
      </c>
    </row>
    <row r="237" spans="1:3" x14ac:dyDescent="0.35">
      <c r="A237" s="29">
        <v>7.6228927107535122E-2</v>
      </c>
      <c r="B237" s="29">
        <v>8.762231602022455E-2</v>
      </c>
      <c r="C237" s="25">
        <f t="shared" si="3"/>
        <v>7.8020346504830043E-2</v>
      </c>
    </row>
    <row r="238" spans="1:3" x14ac:dyDescent="0.35">
      <c r="A238" s="29">
        <v>9.5822833128918455E-2</v>
      </c>
      <c r="B238" s="29">
        <v>4.1672260531941188E-3</v>
      </c>
      <c r="C238" s="25">
        <f t="shared" si="3"/>
        <v>8.1411525514954522E-2</v>
      </c>
    </row>
    <row r="239" spans="1:3" x14ac:dyDescent="0.35">
      <c r="A239" s="29">
        <v>0.12556267482774747</v>
      </c>
      <c r="B239" s="29">
        <v>0.11759253032015965</v>
      </c>
      <c r="C239" s="25">
        <f t="shared" si="3"/>
        <v>0.12430950322274466</v>
      </c>
    </row>
    <row r="240" spans="1:3" x14ac:dyDescent="0.35">
      <c r="A240" s="29">
        <v>5.3133551918846715E-2</v>
      </c>
      <c r="B240" s="29">
        <v>6.8370653054473235E-3</v>
      </c>
      <c r="C240" s="25">
        <f t="shared" si="3"/>
        <v>4.585420555566963E-2</v>
      </c>
    </row>
    <row r="241" spans="1:3" x14ac:dyDescent="0.35">
      <c r="A241" s="29">
        <v>0.19173823105192167</v>
      </c>
      <c r="B241" s="29">
        <v>1.6513376465169011E-2</v>
      </c>
      <c r="C241" s="25">
        <f t="shared" si="3"/>
        <v>0.16418706029839103</v>
      </c>
    </row>
    <row r="242" spans="1:3" x14ac:dyDescent="0.35">
      <c r="A242" s="29">
        <v>0.33691173051390472</v>
      </c>
      <c r="B242" s="29">
        <v>9.2594607776812499E-3</v>
      </c>
      <c r="C242" s="25">
        <f t="shared" si="3"/>
        <v>0.285393904161164</v>
      </c>
    </row>
    <row r="243" spans="1:3" x14ac:dyDescent="0.35">
      <c r="A243" s="29">
        <v>0.13356968706549466</v>
      </c>
      <c r="B243" s="29">
        <v>0.14158865149776656</v>
      </c>
      <c r="C243" s="25">
        <f t="shared" si="3"/>
        <v>0.13483053478519205</v>
      </c>
    </row>
    <row r="244" spans="1:3" x14ac:dyDescent="0.35">
      <c r="A244" s="29">
        <v>3.7096002377315564E-2</v>
      </c>
      <c r="B244" s="29">
        <v>3.5614663924422051E-2</v>
      </c>
      <c r="C244" s="25">
        <f t="shared" si="3"/>
        <v>3.6863086740115056E-2</v>
      </c>
    </row>
    <row r="245" spans="1:3" x14ac:dyDescent="0.35">
      <c r="A245" s="29">
        <v>-0.11462026886677926</v>
      </c>
      <c r="B245" s="29">
        <v>0.17086134931105137</v>
      </c>
      <c r="C245" s="25">
        <f t="shared" si="3"/>
        <v>-6.9733070484100226E-2</v>
      </c>
    </row>
    <row r="246" spans="1:3" x14ac:dyDescent="0.35">
      <c r="A246" s="29">
        <v>7.1063415262337892E-2</v>
      </c>
      <c r="B246" s="29">
        <v>8.6571434268801317E-2</v>
      </c>
      <c r="C246" s="25">
        <f t="shared" si="3"/>
        <v>7.3501791260444593E-2</v>
      </c>
    </row>
    <row r="247" spans="1:3" x14ac:dyDescent="0.35">
      <c r="A247" s="29">
        <v>9.7805505413546143E-2</v>
      </c>
      <c r="B247" s="29">
        <v>-2.0267089238168251E-2</v>
      </c>
      <c r="C247" s="25">
        <f t="shared" si="3"/>
        <v>7.9240569381875847E-2</v>
      </c>
    </row>
    <row r="248" spans="1:3" x14ac:dyDescent="0.35">
      <c r="A248" s="29">
        <v>0.27779761694787786</v>
      </c>
      <c r="B248" s="29">
        <v>-6.2622998845102945E-2</v>
      </c>
      <c r="C248" s="25">
        <f t="shared" si="3"/>
        <v>0.22427218223798065</v>
      </c>
    </row>
    <row r="249" spans="1:3" x14ac:dyDescent="0.35">
      <c r="A249" s="29">
        <v>0.18480147738102479</v>
      </c>
      <c r="B249" s="29">
        <v>-8.2770890035416142E-2</v>
      </c>
      <c r="C249" s="25">
        <f t="shared" si="3"/>
        <v>0.14273020843346229</v>
      </c>
    </row>
    <row r="250" spans="1:3" x14ac:dyDescent="0.35">
      <c r="A250" s="29">
        <v>0.2224311325203259</v>
      </c>
      <c r="B250" s="29">
        <v>0.14424926573503943</v>
      </c>
      <c r="C250" s="25">
        <f t="shared" si="3"/>
        <v>0.21013834468088854</v>
      </c>
    </row>
    <row r="251" spans="1:3" x14ac:dyDescent="0.35">
      <c r="A251" s="29">
        <v>0.19761896820969788</v>
      </c>
      <c r="B251" s="29">
        <v>7.7277141404887645E-2</v>
      </c>
      <c r="C251" s="25">
        <f t="shared" si="3"/>
        <v>0.17869723346544317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03A9-DE51-4271-BF9C-3453090BE00C}">
  <dimension ref="A1:V445"/>
  <sheetViews>
    <sheetView zoomScale="80" zoomScaleNormal="80" workbookViewId="0">
      <pane ySplit="1" topLeftCell="A2" activePane="bottomLeft" state="frozen"/>
      <selection pane="bottomLeft"/>
    </sheetView>
  </sheetViews>
  <sheetFormatPr defaultColWidth="8.81640625" defaultRowHeight="15.5" x14ac:dyDescent="0.35"/>
  <cols>
    <col min="1" max="1" width="9.08984375" style="8" customWidth="1"/>
    <col min="2" max="9" width="9.08984375" style="9" customWidth="1"/>
    <col min="10" max="11" width="8.81640625" style="1"/>
    <col min="12" max="12" width="10.90625" style="1" bestFit="1" customWidth="1"/>
    <col min="13" max="20" width="9.08984375" style="13" customWidth="1"/>
    <col min="21" max="21" width="8.81640625" style="1"/>
    <col min="22" max="22" width="13.453125" style="13" bestFit="1" customWidth="1"/>
    <col min="23" max="16384" width="8.81640625" style="1"/>
  </cols>
  <sheetData>
    <row r="1" spans="1:22" x14ac:dyDescent="0.35">
      <c r="A1" s="5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2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2</v>
      </c>
      <c r="V1" s="15" t="s">
        <v>16</v>
      </c>
    </row>
    <row r="2" spans="1:22" x14ac:dyDescent="0.35">
      <c r="A2" s="8">
        <v>28126</v>
      </c>
      <c r="B2" s="9">
        <v>-3.6900000000000002E-2</v>
      </c>
      <c r="C2" s="9">
        <v>0.10289999999999999</v>
      </c>
      <c r="D2" s="9">
        <v>-3.2400000000000005E-2</v>
      </c>
      <c r="E2" s="9">
        <v>-1.6500000000000001E-2</v>
      </c>
      <c r="F2" s="9">
        <v>-1.37E-2</v>
      </c>
      <c r="G2" s="9">
        <v>-6.4500000000000002E-2</v>
      </c>
      <c r="H2" s="9">
        <v>-3.1300000000000001E-2</v>
      </c>
      <c r="I2" s="10">
        <f t="shared" ref="I2:I65" si="0">SUMPRODUCT(B2:H2,$M$5:$S$5)</f>
        <v>1.3986950069752382E-2</v>
      </c>
      <c r="L2" s="31" t="s">
        <v>17</v>
      </c>
      <c r="M2" s="10">
        <f t="shared" ref="M2:T2" si="1">AVERAGE(B2:B445)</f>
        <v>1.0163738738738746E-2</v>
      </c>
      <c r="N2" s="10">
        <f t="shared" si="1"/>
        <v>1.189076576576577E-2</v>
      </c>
      <c r="O2" s="10">
        <f t="shared" si="1"/>
        <v>1.0129729729729734E-2</v>
      </c>
      <c r="P2" s="10">
        <f t="shared" si="1"/>
        <v>1.2055180180180175E-2</v>
      </c>
      <c r="Q2" s="10">
        <f t="shared" si="1"/>
        <v>1.0794144144144155E-2</v>
      </c>
      <c r="R2" s="10">
        <f t="shared" si="1"/>
        <v>1.0681306306306308E-2</v>
      </c>
      <c r="S2" s="10">
        <f t="shared" si="1"/>
        <v>8.30022522522522E-3</v>
      </c>
      <c r="T2" s="10">
        <f t="shared" si="1"/>
        <v>1.0743240704267519E-2</v>
      </c>
      <c r="V2" s="32">
        <f>0.89/1200</f>
        <v>7.4166666666666662E-4</v>
      </c>
    </row>
    <row r="3" spans="1:22" x14ac:dyDescent="0.35">
      <c r="A3" s="8">
        <v>28157</v>
      </c>
      <c r="B3" s="9">
        <v>-1.6E-2</v>
      </c>
      <c r="C3" s="9">
        <v>2.4900000000000002E-2</v>
      </c>
      <c r="D3" s="9">
        <v>-3.5999999999999999E-3</v>
      </c>
      <c r="E3" s="9">
        <v>-4.2099999999999999E-2</v>
      </c>
      <c r="F3" s="9">
        <v>-1.1000000000000001E-2</v>
      </c>
      <c r="G3" s="9">
        <v>-1.5600000000000001E-2</v>
      </c>
      <c r="H3" s="9">
        <v>5.2199999999999996E-2</v>
      </c>
      <c r="I3" s="10">
        <f t="shared" si="0"/>
        <v>2.1152189992998823E-3</v>
      </c>
      <c r="L3" s="31" t="s">
        <v>18</v>
      </c>
      <c r="M3" s="10">
        <f t="shared" ref="M3:T3" si="2">_xlfn.STDEV.S(B2:B445)</f>
        <v>4.509307720898386E-2</v>
      </c>
      <c r="N3" s="10">
        <f t="shared" si="2"/>
        <v>5.4178792968639387E-2</v>
      </c>
      <c r="O3" s="10">
        <f t="shared" si="2"/>
        <v>5.6674076061667904E-2</v>
      </c>
      <c r="P3" s="10">
        <f t="shared" si="2"/>
        <v>6.5256937880216623E-2</v>
      </c>
      <c r="Q3" s="10">
        <f t="shared" si="2"/>
        <v>6.1771502864047353E-2</v>
      </c>
      <c r="R3" s="10">
        <f t="shared" si="2"/>
        <v>7.5006532369280871E-2</v>
      </c>
      <c r="S3" s="10">
        <f t="shared" si="2"/>
        <v>6.170571478371735E-2</v>
      </c>
      <c r="T3" s="10">
        <f t="shared" si="2"/>
        <v>4.3325399944549862E-2</v>
      </c>
    </row>
    <row r="4" spans="1:22" x14ac:dyDescent="0.35">
      <c r="A4" s="8">
        <v>28185</v>
      </c>
      <c r="B4" s="9">
        <v>-9.9000000000000008E-3</v>
      </c>
      <c r="C4" s="9">
        <v>0.04</v>
      </c>
      <c r="D4" s="9">
        <v>4.8999999999999998E-3</v>
      </c>
      <c r="E4" s="9">
        <v>-9.6300000000000011E-2</v>
      </c>
      <c r="F4" s="9">
        <v>3.4599999999999999E-2</v>
      </c>
      <c r="G4" s="9">
        <v>-1.55E-2</v>
      </c>
      <c r="H4" s="9">
        <v>-7.4999999999999997E-3</v>
      </c>
      <c r="I4" s="10">
        <f t="shared" si="0"/>
        <v>2.9224821666452884E-3</v>
      </c>
      <c r="L4" s="31" t="s">
        <v>19</v>
      </c>
      <c r="M4" s="11">
        <f t="shared" ref="M4:T4" si="3">(M2-$V$2)/M3</f>
        <v>0.20894719667068823</v>
      </c>
      <c r="N4" s="11">
        <f t="shared" si="3"/>
        <v>0.20578345304873435</v>
      </c>
      <c r="O4" s="11">
        <f t="shared" si="3"/>
        <v>0.16565004170244921</v>
      </c>
      <c r="P4" s="11">
        <f t="shared" si="3"/>
        <v>0.17336874638954408</v>
      </c>
      <c r="Q4" s="11">
        <f t="shared" si="3"/>
        <v>0.1627364886945028</v>
      </c>
      <c r="R4" s="11">
        <f t="shared" si="3"/>
        <v>0.13251698652996854</v>
      </c>
      <c r="S4" s="11">
        <f t="shared" si="3"/>
        <v>0.12249365532919934</v>
      </c>
      <c r="T4" s="11">
        <f t="shared" si="3"/>
        <v>0.23084781791746634</v>
      </c>
    </row>
    <row r="5" spans="1:22" x14ac:dyDescent="0.35">
      <c r="A5" s="8">
        <v>28216</v>
      </c>
      <c r="B5" s="9">
        <v>5.3E-3</v>
      </c>
      <c r="C5" s="9">
        <v>3.1800000000000002E-2</v>
      </c>
      <c r="D5" s="9">
        <v>-1.8200000000000001E-2</v>
      </c>
      <c r="E5" s="9">
        <v>-1.9199999999999998E-2</v>
      </c>
      <c r="F5" s="9">
        <v>8.5299999999999987E-2</v>
      </c>
      <c r="G5" s="9">
        <v>-4.2000000000000003E-2</v>
      </c>
      <c r="H5" s="9">
        <v>1.55E-2</v>
      </c>
      <c r="I5" s="10">
        <f t="shared" si="0"/>
        <v>1.4482102002610546E-2</v>
      </c>
      <c r="L5" s="31" t="s">
        <v>20</v>
      </c>
      <c r="M5" s="12">
        <v>0.5043487824676528</v>
      </c>
      <c r="N5" s="12">
        <v>0.3509608034839457</v>
      </c>
      <c r="O5" s="12">
        <v>0</v>
      </c>
      <c r="P5" s="12">
        <v>6.0057985123090477E-2</v>
      </c>
      <c r="Q5" s="12">
        <v>7.0173434206809299E-3</v>
      </c>
      <c r="R5" s="12">
        <v>0</v>
      </c>
      <c r="S5" s="12">
        <v>7.7615085504629852E-2</v>
      </c>
      <c r="T5" s="12">
        <f>SUM(M5:S5)</f>
        <v>0.99999999999999967</v>
      </c>
    </row>
    <row r="6" spans="1:22" x14ac:dyDescent="0.35">
      <c r="A6" s="8">
        <v>28246</v>
      </c>
      <c r="B6" s="9">
        <v>-1.0899999999999998E-2</v>
      </c>
      <c r="C6" s="9">
        <v>3.1099999999999999E-2</v>
      </c>
      <c r="D6" s="9">
        <v>-1.9299999999999998E-2</v>
      </c>
      <c r="E6" s="9">
        <v>5.0300000000000004E-2</v>
      </c>
      <c r="F6" s="9">
        <v>-1.7500000000000002E-2</v>
      </c>
      <c r="G6" s="9">
        <v>-3.7599999999999995E-2</v>
      </c>
      <c r="H6" s="9">
        <v>-5.6999999999999993E-3</v>
      </c>
      <c r="I6" s="10">
        <f t="shared" si="0"/>
        <v>7.8731864139064411E-3</v>
      </c>
    </row>
    <row r="7" spans="1:22" x14ac:dyDescent="0.35">
      <c r="A7" s="8">
        <v>28277</v>
      </c>
      <c r="B7" s="9">
        <v>5.1100000000000007E-2</v>
      </c>
      <c r="C7" s="9">
        <v>3.4300000000000004E-2</v>
      </c>
      <c r="D7" s="9">
        <v>4.7199999999999999E-2</v>
      </c>
      <c r="E7" s="9">
        <v>6.7199999999999996E-2</v>
      </c>
      <c r="F7" s="9">
        <v>-1.84E-2</v>
      </c>
      <c r="G7" s="9">
        <v>5.6799999999999996E-2</v>
      </c>
      <c r="H7" s="9">
        <v>3.6299999999999999E-2</v>
      </c>
      <c r="I7" s="10">
        <f t="shared" si="0"/>
        <v>4.4534383428745612E-2</v>
      </c>
      <c r="L7" s="2" t="s">
        <v>21</v>
      </c>
      <c r="M7" s="13" t="s">
        <v>9</v>
      </c>
      <c r="N7" s="13" t="s">
        <v>10</v>
      </c>
      <c r="O7" s="13" t="s">
        <v>11</v>
      </c>
      <c r="P7" s="13" t="s">
        <v>12</v>
      </c>
      <c r="Q7" s="13" t="s">
        <v>13</v>
      </c>
      <c r="R7" s="13" t="s">
        <v>14</v>
      </c>
      <c r="S7" s="13" t="s">
        <v>15</v>
      </c>
    </row>
    <row r="8" spans="1:22" x14ac:dyDescent="0.35">
      <c r="A8" s="8">
        <v>28307</v>
      </c>
      <c r="B8" s="9">
        <v>-1.2699999999999999E-2</v>
      </c>
      <c r="C8" s="9">
        <v>-1.38E-2</v>
      </c>
      <c r="D8" s="9">
        <v>-4.0999999999999995E-3</v>
      </c>
      <c r="E8" s="9">
        <v>-2.6200000000000001E-2</v>
      </c>
      <c r="F8" s="9">
        <v>3.7699999999999997E-2</v>
      </c>
      <c r="G8" s="9">
        <v>-7.0800000000000002E-2</v>
      </c>
      <c r="H8" s="9">
        <v>-7.8000000000000005E-3</v>
      </c>
      <c r="I8" s="10">
        <f t="shared" si="0"/>
        <v>-1.3162851655619054E-2</v>
      </c>
      <c r="L8" s="31" t="s">
        <v>9</v>
      </c>
      <c r="M8" s="14">
        <v>1</v>
      </c>
      <c r="N8" s="14"/>
      <c r="O8" s="14"/>
      <c r="P8" s="14"/>
      <c r="Q8" s="14"/>
      <c r="R8" s="14"/>
      <c r="S8" s="14"/>
      <c r="T8" s="14"/>
    </row>
    <row r="9" spans="1:22" x14ac:dyDescent="0.35">
      <c r="A9" s="8">
        <v>28338</v>
      </c>
      <c r="B9" s="9">
        <v>-1.3100000000000001E-2</v>
      </c>
      <c r="C9" s="9">
        <v>0.1244</v>
      </c>
      <c r="D9" s="9">
        <v>-3.8599999999999995E-2</v>
      </c>
      <c r="E9" s="9">
        <v>7.8299999999999995E-2</v>
      </c>
      <c r="F9" s="9">
        <v>7.8000000000000005E-3</v>
      </c>
      <c r="G9" s="9">
        <v>0.20030000000000001</v>
      </c>
      <c r="H9" s="9">
        <v>5.28E-2</v>
      </c>
      <c r="I9" s="10">
        <f t="shared" si="0"/>
        <v>4.5907906931540343E-2</v>
      </c>
      <c r="L9" s="31" t="s">
        <v>10</v>
      </c>
      <c r="M9" s="14">
        <v>0.64276287903836415</v>
      </c>
      <c r="N9" s="14">
        <v>1</v>
      </c>
      <c r="O9" s="14"/>
      <c r="P9" s="14"/>
      <c r="Q9" s="14"/>
      <c r="R9" s="14"/>
      <c r="S9" s="14"/>
      <c r="T9" s="14"/>
    </row>
    <row r="10" spans="1:22" x14ac:dyDescent="0.35">
      <c r="A10" s="8">
        <v>28369</v>
      </c>
      <c r="B10" s="9">
        <v>1.5999999999999999E-3</v>
      </c>
      <c r="C10" s="9">
        <v>8.72E-2</v>
      </c>
      <c r="D10" s="9">
        <v>1.7000000000000001E-3</v>
      </c>
      <c r="E10" s="9">
        <v>6.0599999999999994E-2</v>
      </c>
      <c r="F10" s="9">
        <v>2.0799999999999999E-2</v>
      </c>
      <c r="G10" s="9">
        <v>-3.39E-2</v>
      </c>
      <c r="H10" s="9">
        <v>7.7000000000000002E-3</v>
      </c>
      <c r="I10" s="10">
        <f t="shared" si="0"/>
        <v>3.5793850915743407E-2</v>
      </c>
      <c r="L10" s="31" t="s">
        <v>11</v>
      </c>
      <c r="M10" s="14">
        <v>0.77773369858484453</v>
      </c>
      <c r="N10" s="14">
        <v>0.6554090172900392</v>
      </c>
      <c r="O10" s="14">
        <v>1</v>
      </c>
      <c r="P10" s="14"/>
      <c r="Q10" s="14"/>
      <c r="R10" s="14"/>
      <c r="S10" s="14"/>
      <c r="T10" s="14"/>
    </row>
    <row r="11" spans="1:22" x14ac:dyDescent="0.35">
      <c r="A11" s="8">
        <v>28399</v>
      </c>
      <c r="B11" s="9">
        <v>-3.8899999999999997E-2</v>
      </c>
      <c r="C11" s="9">
        <v>1.9699999999999999E-2</v>
      </c>
      <c r="D11" s="9">
        <v>-6.5199999999999994E-2</v>
      </c>
      <c r="E11" s="9">
        <v>4.6799999999999994E-2</v>
      </c>
      <c r="F11" s="9">
        <v>5.2400000000000002E-2</v>
      </c>
      <c r="G11" s="9">
        <v>-6.6199999999999995E-2</v>
      </c>
      <c r="H11" s="9">
        <v>2.3399999999999997E-2</v>
      </c>
      <c r="I11" s="10">
        <f t="shared" si="0"/>
        <v>-7.7106243095453105E-3</v>
      </c>
      <c r="L11" s="31" t="s">
        <v>12</v>
      </c>
      <c r="M11" s="14">
        <v>0.59907661981908744</v>
      </c>
      <c r="N11" s="14">
        <v>0.65929878735944691</v>
      </c>
      <c r="O11" s="14">
        <v>0.54982811577475288</v>
      </c>
      <c r="P11" s="14">
        <v>1</v>
      </c>
      <c r="Q11" s="14"/>
      <c r="R11" s="14"/>
      <c r="S11" s="14"/>
      <c r="T11" s="14"/>
    </row>
    <row r="12" spans="1:22" x14ac:dyDescent="0.35">
      <c r="A12" s="8">
        <v>28430</v>
      </c>
      <c r="B12" s="9">
        <v>4.4999999999999998E-2</v>
      </c>
      <c r="C12" s="9">
        <v>-5.21E-2</v>
      </c>
      <c r="D12" s="9">
        <v>6.2699999999999992E-2</v>
      </c>
      <c r="E12" s="9">
        <v>-4.0899999999999999E-2</v>
      </c>
      <c r="F12" s="9">
        <v>2.1600000000000001E-2</v>
      </c>
      <c r="G12" s="9">
        <v>-5.0700000000000002E-2</v>
      </c>
      <c r="H12" s="9">
        <v>1.8E-3</v>
      </c>
      <c r="I12" s="10">
        <f t="shared" si="0"/>
        <v>2.2455475297914434E-3</v>
      </c>
      <c r="L12" s="31" t="s">
        <v>13</v>
      </c>
      <c r="M12" s="14">
        <v>0.58356139566157994</v>
      </c>
      <c r="N12" s="14">
        <v>0.63490862962619821</v>
      </c>
      <c r="O12" s="14">
        <v>0.53328818856990545</v>
      </c>
      <c r="P12" s="14">
        <v>0.74811004508756762</v>
      </c>
      <c r="Q12" s="14">
        <v>1</v>
      </c>
      <c r="R12" s="14"/>
      <c r="S12" s="14"/>
      <c r="T12" s="14"/>
    </row>
    <row r="13" spans="1:22" x14ac:dyDescent="0.35">
      <c r="A13" s="8">
        <v>28460</v>
      </c>
      <c r="B13" s="9">
        <v>7.6E-3</v>
      </c>
      <c r="C13" s="9">
        <v>7.3399999999999993E-2</v>
      </c>
      <c r="D13" s="9">
        <v>5.96E-2</v>
      </c>
      <c r="E13" s="9">
        <v>5.9999999999999995E-4</v>
      </c>
      <c r="F13" s="9">
        <v>5.0900000000000001E-2</v>
      </c>
      <c r="G13" s="9">
        <v>-9.300000000000001E-3</v>
      </c>
      <c r="H13" s="9">
        <v>1.04E-2</v>
      </c>
      <c r="I13" s="10">
        <f t="shared" si="0"/>
        <v>3.0793988182910435E-2</v>
      </c>
      <c r="L13" s="31" t="s">
        <v>14</v>
      </c>
      <c r="M13" s="14">
        <v>0.45582491988094148</v>
      </c>
      <c r="N13" s="14">
        <v>0.53192221234894721</v>
      </c>
      <c r="O13" s="14">
        <v>0.47098800985796235</v>
      </c>
      <c r="P13" s="14">
        <v>0.62035065058299421</v>
      </c>
      <c r="Q13" s="14">
        <v>0.58501371561255855</v>
      </c>
      <c r="R13" s="14">
        <v>1</v>
      </c>
      <c r="S13" s="14"/>
      <c r="T13" s="14"/>
    </row>
    <row r="14" spans="1:22" x14ac:dyDescent="0.35">
      <c r="A14" s="8">
        <v>28491</v>
      </c>
      <c r="B14" s="9">
        <v>-5.5199999999999999E-2</v>
      </c>
      <c r="C14" s="9">
        <v>-2.53E-2</v>
      </c>
      <c r="D14" s="9">
        <v>-7.46E-2</v>
      </c>
      <c r="E14" s="9">
        <v>-5.8799999999999998E-2</v>
      </c>
      <c r="F14" s="9">
        <v>1.18E-2</v>
      </c>
      <c r="G14" s="9">
        <v>7.0599999999999996E-2</v>
      </c>
      <c r="H14" s="9">
        <v>3.9E-2</v>
      </c>
      <c r="I14" s="10">
        <f t="shared" si="0"/>
        <v>-3.7140977658551379E-2</v>
      </c>
      <c r="L14" s="31" t="s">
        <v>15</v>
      </c>
      <c r="M14" s="14">
        <v>0.34440589709283587</v>
      </c>
      <c r="N14" s="14">
        <v>0.44471524938567469</v>
      </c>
      <c r="O14" s="14">
        <v>0.36194274768413426</v>
      </c>
      <c r="P14" s="14">
        <v>0.44534966997991776</v>
      </c>
      <c r="Q14" s="14">
        <v>0.38261715550379799</v>
      </c>
      <c r="R14" s="14">
        <v>0.39616550316897403</v>
      </c>
      <c r="S14" s="14">
        <v>1</v>
      </c>
      <c r="T14" s="14"/>
    </row>
    <row r="15" spans="1:22" x14ac:dyDescent="0.35">
      <c r="A15" s="8">
        <v>28522</v>
      </c>
      <c r="B15" s="9">
        <v>-9.1999999999999998E-3</v>
      </c>
      <c r="C15" s="9">
        <v>-5.1900000000000002E-2</v>
      </c>
      <c r="D15" s="9">
        <v>-2.9999999999999997E-4</v>
      </c>
      <c r="E15" s="9">
        <v>1.9599999999999999E-2</v>
      </c>
      <c r="F15" s="9">
        <v>4.4999999999999998E-2</v>
      </c>
      <c r="G15" s="9">
        <v>5.6900000000000006E-2</v>
      </c>
      <c r="H15" s="9">
        <v>3.3599999999999998E-2</v>
      </c>
      <c r="I15" s="10">
        <f t="shared" si="0"/>
        <v>-1.8754090664220409E-2</v>
      </c>
      <c r="M15" s="14"/>
      <c r="N15" s="14"/>
      <c r="O15" s="14"/>
      <c r="P15" s="14"/>
      <c r="Q15" s="14"/>
      <c r="R15" s="14"/>
      <c r="S15" s="14"/>
      <c r="T15" s="14"/>
    </row>
    <row r="16" spans="1:22" x14ac:dyDescent="0.35">
      <c r="A16" s="8">
        <v>28550</v>
      </c>
      <c r="B16" s="9">
        <v>3.3799999999999997E-2</v>
      </c>
      <c r="C16" s="9">
        <v>2.64E-2</v>
      </c>
      <c r="D16" s="9">
        <v>4.2300000000000004E-2</v>
      </c>
      <c r="E16" s="9">
        <v>0.27529999999999999</v>
      </c>
      <c r="F16" s="9">
        <v>6.5000000000000006E-3</v>
      </c>
      <c r="G16" s="9">
        <v>4.2500000000000003E-2</v>
      </c>
      <c r="H16" s="9">
        <v>0.12820000000000001</v>
      </c>
      <c r="I16" s="10">
        <f t="shared" si="0"/>
        <v>5.2842184057697611E-2</v>
      </c>
    </row>
    <row r="17" spans="1:9" x14ac:dyDescent="0.35">
      <c r="A17" s="8">
        <v>28581</v>
      </c>
      <c r="B17" s="9">
        <v>8.4199999999999997E-2</v>
      </c>
      <c r="C17" s="9">
        <v>1.8E-3</v>
      </c>
      <c r="D17" s="9">
        <v>1.61E-2</v>
      </c>
      <c r="E17" s="9">
        <v>4.6399999999999997E-2</v>
      </c>
      <c r="F17" s="9">
        <v>-4.8000000000000001E-2</v>
      </c>
      <c r="G17" s="9">
        <v>-1.3000000000000001E-2</v>
      </c>
      <c r="H17" s="9">
        <v>-1.7000000000000001E-3</v>
      </c>
      <c r="I17" s="10">
        <f t="shared" si="0"/>
        <v>4.5415809310208305E-2</v>
      </c>
    </row>
    <row r="18" spans="1:9" x14ac:dyDescent="0.35">
      <c r="A18" s="8">
        <v>28611</v>
      </c>
      <c r="B18" s="9">
        <v>2.2700000000000001E-2</v>
      </c>
      <c r="C18" s="9">
        <v>4.1500000000000002E-2</v>
      </c>
      <c r="D18" s="9">
        <v>4.5999999999999999E-2</v>
      </c>
      <c r="E18" s="9">
        <v>5.8299999999999998E-2</v>
      </c>
      <c r="F18" s="9">
        <v>6.3E-3</v>
      </c>
      <c r="G18" s="9">
        <v>5.7099999999999998E-2</v>
      </c>
      <c r="H18" s="9">
        <v>1E-4</v>
      </c>
      <c r="I18" s="10">
        <f t="shared" si="0"/>
        <v>2.9566942011376399E-2</v>
      </c>
    </row>
    <row r="19" spans="1:9" x14ac:dyDescent="0.35">
      <c r="A19" s="8">
        <v>28642</v>
      </c>
      <c r="B19" s="9">
        <v>-1.15E-2</v>
      </c>
      <c r="C19" s="9">
        <v>-5.3E-3</v>
      </c>
      <c r="D19" s="9">
        <v>-3.8E-3</v>
      </c>
      <c r="E19" s="9">
        <v>-2.2700000000000001E-2</v>
      </c>
      <c r="F19" s="9">
        <v>3.2500000000000001E-2</v>
      </c>
      <c r="G19" s="9">
        <v>-8.0500000000000002E-2</v>
      </c>
      <c r="H19" s="9">
        <v>0.1036</v>
      </c>
      <c r="I19" s="10">
        <f t="shared" si="0"/>
        <v>-7.5443299968529047E-4</v>
      </c>
    </row>
    <row r="20" spans="1:9" x14ac:dyDescent="0.35">
      <c r="A20" s="8">
        <v>28672</v>
      </c>
      <c r="B20" s="9">
        <v>5.67E-2</v>
      </c>
      <c r="C20" s="9">
        <v>0.10369999999999999</v>
      </c>
      <c r="D20" s="9">
        <v>6.0400000000000002E-2</v>
      </c>
      <c r="E20" s="9">
        <v>0.1497</v>
      </c>
      <c r="F20" s="9">
        <v>5.16E-2</v>
      </c>
      <c r="G20" s="9">
        <v>1.61E-2</v>
      </c>
      <c r="H20" s="9">
        <v>8.4199999999999997E-2</v>
      </c>
      <c r="I20" s="10">
        <f t="shared" si="0"/>
        <v>8.0879176780124698E-2</v>
      </c>
    </row>
    <row r="21" spans="1:9" x14ac:dyDescent="0.35">
      <c r="A21" s="8">
        <v>28703</v>
      </c>
      <c r="B21" s="9">
        <v>4.3100000000000006E-2</v>
      </c>
      <c r="C21" s="9">
        <v>3.8199999999999998E-2</v>
      </c>
      <c r="D21" s="9">
        <v>2.1600000000000001E-2</v>
      </c>
      <c r="E21" s="9">
        <v>-1.3600000000000001E-2</v>
      </c>
      <c r="F21" s="9">
        <v>4.8000000000000001E-2</v>
      </c>
      <c r="G21" s="9">
        <v>8.48E-2</v>
      </c>
      <c r="H21" s="9">
        <v>-3.4999999999999996E-3</v>
      </c>
      <c r="I21" s="10">
        <f t="shared" si="0"/>
        <v>3.4392526304695012E-2</v>
      </c>
    </row>
    <row r="22" spans="1:9" x14ac:dyDescent="0.35">
      <c r="A22" s="8">
        <v>28734</v>
      </c>
      <c r="B22" s="9">
        <v>-8.0999999999999996E-3</v>
      </c>
      <c r="C22" s="9">
        <v>1.4499999999999999E-2</v>
      </c>
      <c r="D22" s="9">
        <v>2.4399999999999998E-2</v>
      </c>
      <c r="E22" s="9">
        <v>0.15620000000000001</v>
      </c>
      <c r="F22" s="9">
        <v>5.5199999999999999E-2</v>
      </c>
      <c r="G22" s="9">
        <v>0.21100000000000002</v>
      </c>
      <c r="H22" s="9">
        <v>2.5099999999999997E-2</v>
      </c>
      <c r="I22" s="10">
        <f t="shared" si="0"/>
        <v>1.2720259791743755E-2</v>
      </c>
    </row>
    <row r="23" spans="1:9" x14ac:dyDescent="0.35">
      <c r="A23" s="8">
        <v>28764</v>
      </c>
      <c r="B23" s="9">
        <v>-0.11230000000000001</v>
      </c>
      <c r="C23" s="9">
        <v>2.3599999999999999E-2</v>
      </c>
      <c r="D23" s="9">
        <v>-3.6200000000000003E-2</v>
      </c>
      <c r="E23" s="9">
        <v>3.1800000000000002E-2</v>
      </c>
      <c r="F23" s="9">
        <v>9.4700000000000006E-2</v>
      </c>
      <c r="G23" s="9">
        <v>-1.6799999999999999E-2</v>
      </c>
      <c r="H23" s="9">
        <v>8.0100000000000005E-2</v>
      </c>
      <c r="I23" s="10">
        <f t="shared" si="0"/>
        <v>-3.9564338611122685E-2</v>
      </c>
    </row>
    <row r="24" spans="1:9" x14ac:dyDescent="0.35">
      <c r="A24" s="8">
        <v>28795</v>
      </c>
      <c r="B24" s="9">
        <v>3.4099999999999998E-2</v>
      </c>
      <c r="C24" s="9">
        <v>-4.6100000000000002E-2</v>
      </c>
      <c r="D24" s="9">
        <v>6.0100000000000001E-2</v>
      </c>
      <c r="E24" s="9">
        <v>-0.11269999999999999</v>
      </c>
      <c r="F24" s="9">
        <v>-0.10730000000000001</v>
      </c>
      <c r="G24" s="9">
        <v>-9.8699999999999996E-2</v>
      </c>
      <c r="H24" s="9">
        <v>-9.4499999999999987E-2</v>
      </c>
      <c r="I24" s="10">
        <f t="shared" si="0"/>
        <v>-1.3837121011061819E-2</v>
      </c>
    </row>
    <row r="25" spans="1:9" x14ac:dyDescent="0.35">
      <c r="A25" s="8">
        <v>28825</v>
      </c>
      <c r="B25" s="9">
        <v>1.66E-2</v>
      </c>
      <c r="C25" s="9">
        <v>3.4799999999999998E-2</v>
      </c>
      <c r="D25" s="9">
        <v>2.5699999999999997E-2</v>
      </c>
      <c r="E25" s="9">
        <v>8.14E-2</v>
      </c>
      <c r="F25" s="9">
        <v>5.7300000000000004E-2</v>
      </c>
      <c r="G25" s="9">
        <v>7.9000000000000008E-3</v>
      </c>
      <c r="H25" s="9">
        <v>4.2699999999999995E-2</v>
      </c>
      <c r="I25" s="10">
        <f t="shared" si="0"/>
        <v>2.9190603668276621E-2</v>
      </c>
    </row>
    <row r="26" spans="1:9" x14ac:dyDescent="0.35">
      <c r="A26" s="8">
        <v>28856</v>
      </c>
      <c r="B26" s="9">
        <v>0.05</v>
      </c>
      <c r="C26" s="9">
        <v>-1.6000000000000001E-3</v>
      </c>
      <c r="D26" s="9">
        <v>0.02</v>
      </c>
      <c r="E26" s="9">
        <v>-2.46E-2</v>
      </c>
      <c r="F26" s="9">
        <v>-1.2E-2</v>
      </c>
      <c r="G26" s="9">
        <v>3.8199999999999998E-2</v>
      </c>
      <c r="H26" s="9">
        <v>-4.6999999999999993E-3</v>
      </c>
      <c r="I26" s="10">
        <f t="shared" si="0"/>
        <v>2.2729476380860373E-2</v>
      </c>
    </row>
    <row r="27" spans="1:9" x14ac:dyDescent="0.35">
      <c r="A27" s="8">
        <v>28887</v>
      </c>
      <c r="B27" s="9">
        <v>-2.8300000000000002E-2</v>
      </c>
      <c r="C27" s="9">
        <v>8.9200000000000002E-2</v>
      </c>
      <c r="D27" s="9">
        <v>3.3300000000000003E-2</v>
      </c>
      <c r="E27" s="9">
        <v>-5.8899999999999994E-2</v>
      </c>
      <c r="F27" s="9">
        <v>-1.9299999999999998E-2</v>
      </c>
      <c r="G27" s="9">
        <v>5.7000000000000002E-2</v>
      </c>
      <c r="H27" s="9">
        <v>-3.5400000000000001E-2</v>
      </c>
      <c r="I27" s="10">
        <f t="shared" si="0"/>
        <v>1.0612209048300318E-2</v>
      </c>
    </row>
    <row r="28" spans="1:9" x14ac:dyDescent="0.35">
      <c r="A28" s="8">
        <v>28915</v>
      </c>
      <c r="B28" s="9">
        <v>6.4899999999999999E-2</v>
      </c>
      <c r="C28" s="9">
        <v>0.15210000000000001</v>
      </c>
      <c r="D28" s="9">
        <v>0.10150000000000001</v>
      </c>
      <c r="E28" s="9">
        <v>4.9599999999999998E-2</v>
      </c>
      <c r="F28" s="9">
        <v>-1.9400000000000001E-2</v>
      </c>
      <c r="G28" s="9">
        <v>2.0199999999999999E-2</v>
      </c>
      <c r="H28" s="9">
        <v>-3.1699999999999999E-2</v>
      </c>
      <c r="I28" s="10">
        <f t="shared" si="0"/>
        <v>8.6495715581306115E-2</v>
      </c>
    </row>
    <row r="29" spans="1:9" x14ac:dyDescent="0.35">
      <c r="A29" s="8">
        <v>28946</v>
      </c>
      <c r="B29" s="9">
        <v>7.4000000000000003E-3</v>
      </c>
      <c r="C29" s="9">
        <v>5.0099999999999999E-2</v>
      </c>
      <c r="D29" s="9">
        <v>3.1300000000000001E-2</v>
      </c>
      <c r="E29" s="9">
        <v>4.8799999999999996E-2</v>
      </c>
      <c r="F29" s="9">
        <v>-1.4499999999999999E-2</v>
      </c>
      <c r="G29" s="9">
        <v>-5.2900000000000003E-2</v>
      </c>
      <c r="H29" s="9">
        <v>-2.4E-2</v>
      </c>
      <c r="I29" s="10">
        <f t="shared" si="0"/>
        <v>2.2281633387102134E-2</v>
      </c>
    </row>
    <row r="30" spans="1:9" x14ac:dyDescent="0.35">
      <c r="A30" s="8">
        <v>28976</v>
      </c>
      <c r="B30" s="9">
        <v>-1.3900000000000001E-2</v>
      </c>
      <c r="C30" s="9">
        <v>-6.0299999999999999E-2</v>
      </c>
      <c r="D30" s="9">
        <v>2.7099999999999999E-2</v>
      </c>
      <c r="E30" s="9">
        <v>-6.2800000000000009E-2</v>
      </c>
      <c r="F30" s="9">
        <v>-4.7100000000000003E-2</v>
      </c>
      <c r="G30" s="9">
        <v>3.3000000000000002E-2</v>
      </c>
      <c r="H30" s="9">
        <v>-1.6000000000000001E-3</v>
      </c>
      <c r="I30" s="10">
        <f t="shared" si="0"/>
        <v>-3.2399727004033867E-2</v>
      </c>
    </row>
    <row r="31" spans="1:9" x14ac:dyDescent="0.35">
      <c r="A31" s="8">
        <v>29007</v>
      </c>
      <c r="B31" s="9">
        <v>4.6600000000000003E-2</v>
      </c>
      <c r="C31" s="9">
        <v>3.8E-3</v>
      </c>
      <c r="D31" s="9">
        <v>7.2400000000000006E-2</v>
      </c>
      <c r="E31" s="9">
        <v>0.1467</v>
      </c>
      <c r="F31" s="9">
        <v>9.300000000000001E-3</v>
      </c>
      <c r="G31" s="9">
        <v>2.35E-2</v>
      </c>
      <c r="H31" s="9">
        <v>8.6999999999999994E-3</v>
      </c>
      <c r="I31" s="10">
        <f t="shared" si="0"/>
        <v>3.4387323271491597E-2</v>
      </c>
    </row>
    <row r="32" spans="1:9" x14ac:dyDescent="0.35">
      <c r="A32" s="8">
        <v>29037</v>
      </c>
      <c r="B32" s="9">
        <v>1.5899999999999997E-2</v>
      </c>
      <c r="C32" s="9">
        <v>1.23E-2</v>
      </c>
      <c r="D32" s="9">
        <v>-4.7E-2</v>
      </c>
      <c r="E32" s="9">
        <v>8.0000000000000004E-4</v>
      </c>
      <c r="F32" s="9">
        <v>4.5999999999999999E-2</v>
      </c>
      <c r="G32" s="9">
        <v>5.9299999999999999E-2</v>
      </c>
      <c r="H32" s="9">
        <v>-3.3E-3</v>
      </c>
      <c r="I32" s="10">
        <f t="shared" si="0"/>
        <v>1.2450677927372727E-2</v>
      </c>
    </row>
    <row r="33" spans="1:9" x14ac:dyDescent="0.35">
      <c r="A33" s="8">
        <v>29068</v>
      </c>
      <c r="B33" s="9">
        <v>6.3E-2</v>
      </c>
      <c r="C33" s="9">
        <v>2.98E-2</v>
      </c>
      <c r="D33" s="9">
        <v>0.10949999999999999</v>
      </c>
      <c r="E33" s="9">
        <v>7.8600000000000003E-2</v>
      </c>
      <c r="F33" s="9">
        <v>2.2499999999999999E-2</v>
      </c>
      <c r="G33" s="9">
        <v>8.9499999999999996E-2</v>
      </c>
      <c r="H33" s="9">
        <v>5.1000000000000004E-3</v>
      </c>
      <c r="I33" s="10">
        <f t="shared" si="0"/>
        <v>4.7506890032997559E-2</v>
      </c>
    </row>
    <row r="34" spans="1:9" x14ac:dyDescent="0.35">
      <c r="A34" s="8">
        <v>29099</v>
      </c>
      <c r="B34" s="9">
        <v>1.0000000000000009E-4</v>
      </c>
      <c r="C34" s="9">
        <v>1.6E-2</v>
      </c>
      <c r="D34" s="9">
        <v>6.5000000000000002E-2</v>
      </c>
      <c r="E34" s="9">
        <v>0.1515</v>
      </c>
      <c r="F34" s="9">
        <v>5.5E-2</v>
      </c>
      <c r="G34" s="9">
        <v>4.24E-2</v>
      </c>
      <c r="H34" s="9">
        <v>1.66E-2</v>
      </c>
      <c r="I34" s="10">
        <f t="shared" si="0"/>
        <v>1.643895678765241E-2</v>
      </c>
    </row>
    <row r="35" spans="1:9" x14ac:dyDescent="0.35">
      <c r="A35" s="8">
        <v>29129</v>
      </c>
      <c r="B35" s="9">
        <v>-7.2299999999999989E-2</v>
      </c>
      <c r="C35" s="9">
        <v>-0.11</v>
      </c>
      <c r="D35" s="9">
        <v>-0.10339999999999999</v>
      </c>
      <c r="E35" s="9">
        <v>-0.1157</v>
      </c>
      <c r="F35" s="9">
        <v>-8.0799999999999997E-2</v>
      </c>
      <c r="G35" s="9">
        <v>-8.5699999999999998E-2</v>
      </c>
      <c r="H35" s="9">
        <v>-7.8899999999999998E-2</v>
      </c>
      <c r="I35" s="10">
        <f t="shared" si="0"/>
        <v>-8.8709645829093201E-2</v>
      </c>
    </row>
    <row r="36" spans="1:9" x14ac:dyDescent="0.35">
      <c r="A36" s="8">
        <v>29160</v>
      </c>
      <c r="B36" s="9">
        <v>6.2E-2</v>
      </c>
      <c r="C36" s="9">
        <v>4.8499999999999995E-2</v>
      </c>
      <c r="D36" s="9">
        <v>0.10310000000000001</v>
      </c>
      <c r="E36" s="9">
        <v>7.5300000000000006E-2</v>
      </c>
      <c r="F36" s="9">
        <v>5.7500000000000002E-2</v>
      </c>
      <c r="G36" s="9">
        <v>-1.32E-2</v>
      </c>
      <c r="H36" s="9">
        <v>-3.9900000000000005E-2</v>
      </c>
      <c r="I36" s="10">
        <f t="shared" si="0"/>
        <v>5.0120245096788973E-2</v>
      </c>
    </row>
    <row r="37" spans="1:9" x14ac:dyDescent="0.35">
      <c r="A37" s="8">
        <v>29190</v>
      </c>
      <c r="B37" s="9">
        <v>2.7400000000000001E-2</v>
      </c>
      <c r="C37" s="9">
        <v>1.1000000000000001E-3</v>
      </c>
      <c r="D37" s="9">
        <v>6.3600000000000004E-2</v>
      </c>
      <c r="E37" s="9">
        <v>-3.4000000000000002E-3</v>
      </c>
      <c r="F37" s="9">
        <v>-1.1200000000000002E-2</v>
      </c>
      <c r="G37" s="9">
        <v>-2.2000000000000001E-3</v>
      </c>
      <c r="H37" s="9">
        <v>5.8600000000000006E-2</v>
      </c>
      <c r="I37" s="10">
        <f t="shared" si="0"/>
        <v>1.8470666138287205E-2</v>
      </c>
    </row>
    <row r="38" spans="1:9" x14ac:dyDescent="0.35">
      <c r="A38" s="8">
        <v>29221</v>
      </c>
      <c r="B38" s="9">
        <v>6.3099999999999989E-2</v>
      </c>
      <c r="C38" s="9">
        <v>0.1157</v>
      </c>
      <c r="D38" s="9">
        <v>0.1139</v>
      </c>
      <c r="E38" s="9">
        <v>8.0100000000000005E-2</v>
      </c>
      <c r="F38" s="9">
        <v>4.8999999999999998E-3</v>
      </c>
      <c r="G38" s="9">
        <v>9.7299999999999998E-2</v>
      </c>
      <c r="H38" s="9">
        <v>1.9599999999999999E-2</v>
      </c>
      <c r="I38" s="10">
        <f t="shared" si="0"/>
        <v>7.8796858403813036E-2</v>
      </c>
    </row>
    <row r="39" spans="1:9" x14ac:dyDescent="0.35">
      <c r="A39" s="8">
        <v>29252</v>
      </c>
      <c r="B39" s="9">
        <v>-3.2999999999999995E-3</v>
      </c>
      <c r="C39" s="9">
        <v>5.7999999999999996E-2</v>
      </c>
      <c r="D39" s="9">
        <v>0.13639999999999999</v>
      </c>
      <c r="E39" s="9">
        <v>-1.06E-2</v>
      </c>
      <c r="F39" s="9">
        <v>4.5000000000000005E-3</v>
      </c>
      <c r="G39" s="9">
        <v>1.26E-2</v>
      </c>
      <c r="H39" s="9">
        <v>-3.8599999999999995E-2</v>
      </c>
      <c r="I39" s="10">
        <f t="shared" si="0"/>
        <v>1.509039672253519E-2</v>
      </c>
    </row>
    <row r="40" spans="1:9" x14ac:dyDescent="0.35">
      <c r="A40" s="8">
        <v>29281</v>
      </c>
      <c r="B40" s="9">
        <v>-0.11690000000000002</v>
      </c>
      <c r="C40" s="9">
        <v>-0.13869999999999999</v>
      </c>
      <c r="D40" s="9">
        <v>-0.21609999999999999</v>
      </c>
      <c r="E40" s="9">
        <v>-0.15759999999999999</v>
      </c>
      <c r="F40" s="9">
        <v>-0.1522</v>
      </c>
      <c r="G40" s="9">
        <v>-0.1057</v>
      </c>
      <c r="H40" s="9">
        <v>-0.03</v>
      </c>
      <c r="I40" s="10">
        <f t="shared" si="0"/>
        <v>-0.12049826680285747</v>
      </c>
    </row>
    <row r="41" spans="1:9" x14ac:dyDescent="0.35">
      <c r="A41" s="8">
        <v>29312</v>
      </c>
      <c r="B41" s="9">
        <v>5.2300000000000006E-2</v>
      </c>
      <c r="C41" s="9">
        <v>8.900000000000001E-2</v>
      </c>
      <c r="D41" s="9">
        <v>3.6600000000000001E-2</v>
      </c>
      <c r="E41" s="9">
        <v>0.1094</v>
      </c>
      <c r="F41" s="9">
        <v>0.11349999999999999</v>
      </c>
      <c r="G41" s="9">
        <v>9.8599999999999993E-2</v>
      </c>
      <c r="H41" s="9">
        <v>7.6399999999999996E-2</v>
      </c>
      <c r="I41" s="10">
        <f t="shared" si="0"/>
        <v>7.0909557416396526E-2</v>
      </c>
    </row>
    <row r="42" spans="1:9" x14ac:dyDescent="0.35">
      <c r="A42" s="8">
        <v>29342</v>
      </c>
      <c r="B42" s="9">
        <v>6.0700000000000004E-2</v>
      </c>
      <c r="C42" s="9">
        <v>8.0000000000000002E-3</v>
      </c>
      <c r="D42" s="9">
        <v>8.3800000000000013E-2</v>
      </c>
      <c r="E42" s="9">
        <v>6.54E-2</v>
      </c>
      <c r="F42" s="9">
        <v>4.1100000000000005E-2</v>
      </c>
      <c r="G42" s="9">
        <v>3.8199999999999998E-2</v>
      </c>
      <c r="H42" s="9">
        <v>6.2199999999999998E-2</v>
      </c>
      <c r="I42" s="10">
        <f t="shared" si="0"/>
        <v>4.2465520883686173E-2</v>
      </c>
    </row>
    <row r="43" spans="1:9" x14ac:dyDescent="0.35">
      <c r="A43" s="8">
        <v>29373</v>
      </c>
      <c r="B43" s="9">
        <v>3.6699999999999997E-2</v>
      </c>
      <c r="C43" s="9">
        <v>0.129</v>
      </c>
      <c r="D43" s="9">
        <v>7.51E-2</v>
      </c>
      <c r="E43" s="9">
        <v>1.9900000000000001E-2</v>
      </c>
      <c r="F43" s="9">
        <v>4.4000000000000004E-2</v>
      </c>
      <c r="G43" s="9">
        <v>4.2800000000000005E-2</v>
      </c>
      <c r="H43" s="9">
        <v>4.4800000000000006E-2</v>
      </c>
      <c r="I43" s="10">
        <f t="shared" si="0"/>
        <v>6.8764616811058735E-2</v>
      </c>
    </row>
    <row r="44" spans="1:9" x14ac:dyDescent="0.35">
      <c r="A44" s="8">
        <v>29403</v>
      </c>
      <c r="B44" s="9">
        <v>7.0199999999999999E-2</v>
      </c>
      <c r="C44" s="9">
        <v>3.3500000000000002E-2</v>
      </c>
      <c r="D44" s="9">
        <v>5.1100000000000007E-2</v>
      </c>
      <c r="E44" s="9">
        <v>-4.0899999999999999E-2</v>
      </c>
      <c r="F44" s="9">
        <v>1.49E-2</v>
      </c>
      <c r="G44" s="9">
        <v>0.1115</v>
      </c>
      <c r="H44" s="9">
        <v>-5.0199999999999995E-2</v>
      </c>
      <c r="I44" s="10">
        <f t="shared" si="0"/>
        <v>4.0914380979042729E-2</v>
      </c>
    </row>
    <row r="45" spans="1:9" x14ac:dyDescent="0.35">
      <c r="A45" s="8">
        <v>29434</v>
      </c>
      <c r="B45" s="9">
        <v>2.4399999999999998E-2</v>
      </c>
      <c r="C45" s="9">
        <v>2.9399999999999999E-2</v>
      </c>
      <c r="D45" s="9">
        <v>-4.0999999999999995E-3</v>
      </c>
      <c r="E45" s="9">
        <v>2.7000000000000003E-2</v>
      </c>
      <c r="F45" s="9">
        <v>-2.0499999999999997E-2</v>
      </c>
      <c r="G45" s="9">
        <v>7.8600000000000003E-2</v>
      </c>
      <c r="H45" s="9">
        <v>6.3299999999999995E-2</v>
      </c>
      <c r="I45" s="10">
        <f t="shared" si="0"/>
        <v>2.9015102885281287E-2</v>
      </c>
    </row>
    <row r="46" spans="1:9" x14ac:dyDescent="0.35">
      <c r="A46" s="8">
        <v>29465</v>
      </c>
      <c r="B46" s="9">
        <v>2.9399999999999999E-2</v>
      </c>
      <c r="C46" s="9">
        <v>3.2400000000000005E-2</v>
      </c>
      <c r="D46" s="9">
        <v>-6.8999999999999999E-3</v>
      </c>
      <c r="E46" s="9">
        <v>1E-4</v>
      </c>
      <c r="F46" s="9">
        <v>-6.1999999999999998E-3</v>
      </c>
      <c r="G46" s="9">
        <v>0.1298</v>
      </c>
      <c r="H46" s="9">
        <v>5.8099999999999999E-2</v>
      </c>
      <c r="I46" s="10">
        <f t="shared" si="0"/>
        <v>3.0670918974551917E-2</v>
      </c>
    </row>
    <row r="47" spans="1:9" x14ac:dyDescent="0.35">
      <c r="A47" s="8">
        <v>29495</v>
      </c>
      <c r="B47" s="9">
        <v>2.0099999999999996E-2</v>
      </c>
      <c r="C47" s="9">
        <v>8.4499999999999992E-2</v>
      </c>
      <c r="D47" s="9">
        <v>-3.2400000000000005E-2</v>
      </c>
      <c r="E47" s="9">
        <v>4.5599999999999995E-2</v>
      </c>
      <c r="F47" s="9">
        <v>-7.0000000000000007E-2</v>
      </c>
      <c r="G47" s="9">
        <v>0.2412</v>
      </c>
      <c r="H47" s="9">
        <v>3.0099999999999998E-2</v>
      </c>
      <c r="I47" s="10">
        <f t="shared" si="0"/>
        <v>4.437724257784785E-2</v>
      </c>
    </row>
    <row r="48" spans="1:9" x14ac:dyDescent="0.35">
      <c r="A48" s="8">
        <v>29526</v>
      </c>
      <c r="B48" s="9">
        <v>0.10550000000000001</v>
      </c>
      <c r="C48" s="9">
        <v>-2.18E-2</v>
      </c>
      <c r="D48" s="9">
        <v>4.3499999999999997E-2</v>
      </c>
      <c r="E48" s="9">
        <v>-3.4500000000000003E-2</v>
      </c>
      <c r="F48" s="9">
        <v>3.7000000000000002E-3</v>
      </c>
      <c r="G48" s="9">
        <v>-8.0299999999999996E-2</v>
      </c>
      <c r="H48" s="9">
        <v>-3.2799999999999996E-2</v>
      </c>
      <c r="I48" s="10">
        <f t="shared" si="0"/>
        <v>4.0966039913745401E-2</v>
      </c>
    </row>
    <row r="49" spans="1:9" x14ac:dyDescent="0.35">
      <c r="A49" s="8">
        <v>29556</v>
      </c>
      <c r="B49" s="9">
        <v>-3.2099999999999997E-2</v>
      </c>
      <c r="C49" s="9">
        <v>-4.53E-2</v>
      </c>
      <c r="D49" s="9">
        <v>-6.3700000000000007E-2</v>
      </c>
      <c r="E49" s="9">
        <v>-7.2599999999999998E-2</v>
      </c>
      <c r="F49" s="9">
        <v>-3.56E-2</v>
      </c>
      <c r="G49" s="9">
        <v>1E-3</v>
      </c>
      <c r="H49" s="9">
        <v>7.3399999999999993E-2</v>
      </c>
      <c r="I49" s="10">
        <f t="shared" si="0"/>
        <v>-3.100120018470718E-2</v>
      </c>
    </row>
    <row r="50" spans="1:9" x14ac:dyDescent="0.35">
      <c r="A50" s="8">
        <v>29587</v>
      </c>
      <c r="B50" s="9">
        <v>-0.04</v>
      </c>
      <c r="C50" s="9">
        <v>-7.1999999999999998E-3</v>
      </c>
      <c r="D50" s="9">
        <v>5.8999999999999999E-3</v>
      </c>
      <c r="E50" s="9">
        <v>-0.11699999999999999</v>
      </c>
      <c r="F50" s="9">
        <v>-9.1899999999999996E-2</v>
      </c>
      <c r="G50" s="9">
        <v>0.15259999999999999</v>
      </c>
      <c r="H50" s="9">
        <v>2.2700000000000001E-2</v>
      </c>
      <c r="I50" s="10">
        <f t="shared" si="0"/>
        <v>-2.8610684762597587E-2</v>
      </c>
    </row>
    <row r="51" spans="1:9" x14ac:dyDescent="0.35">
      <c r="A51" s="8">
        <v>29618</v>
      </c>
      <c r="B51" s="9">
        <v>1.6300000000000002E-2</v>
      </c>
      <c r="C51" s="9">
        <v>-3.1E-2</v>
      </c>
      <c r="D51" s="9">
        <v>-2.2400000000000003E-2</v>
      </c>
      <c r="E51" s="9">
        <v>1.6E-2</v>
      </c>
      <c r="F51" s="9">
        <v>2.0000000000000001E-4</v>
      </c>
      <c r="G51" s="9">
        <v>6.7099999999999993E-2</v>
      </c>
      <c r="H51" s="9">
        <v>-1.7899999999999999E-2</v>
      </c>
      <c r="I51" s="10">
        <f t="shared" si="0"/>
        <v>-3.0858785536588668E-3</v>
      </c>
    </row>
    <row r="52" spans="1:9" x14ac:dyDescent="0.35">
      <c r="A52" s="8">
        <v>29646</v>
      </c>
      <c r="B52" s="9">
        <v>4.7699999999999992E-2</v>
      </c>
      <c r="C52" s="9">
        <v>2.7300000000000001E-2</v>
      </c>
      <c r="D52" s="9">
        <v>8.1699999999999995E-2</v>
      </c>
      <c r="E52" s="9">
        <v>4.2000000000000003E-2</v>
      </c>
      <c r="F52" s="9">
        <v>4.9200000000000001E-2</v>
      </c>
      <c r="G52" s="9">
        <v>2.81E-2</v>
      </c>
      <c r="H52" s="9">
        <v>5.67E-2</v>
      </c>
      <c r="I52" s="10">
        <f t="shared" si="0"/>
        <v>4.0907130878398569E-2</v>
      </c>
    </row>
    <row r="53" spans="1:9" x14ac:dyDescent="0.35">
      <c r="A53" s="8">
        <v>29677</v>
      </c>
      <c r="B53" s="9">
        <v>-1.0200000000000001E-2</v>
      </c>
      <c r="C53" s="9">
        <v>3.4799999999999998E-2</v>
      </c>
      <c r="D53" s="9">
        <v>-1.38E-2</v>
      </c>
      <c r="E53" s="9">
        <v>-0.1011</v>
      </c>
      <c r="F53" s="9">
        <v>-3.0000000000000001E-3</v>
      </c>
      <c r="G53" s="9">
        <v>5.0199999999999995E-2</v>
      </c>
      <c r="H53" s="9">
        <v>6.7000000000000004E-2</v>
      </c>
      <c r="I53" s="10">
        <f t="shared" si="0"/>
        <v>6.1763747826749631E-3</v>
      </c>
    </row>
    <row r="54" spans="1:9" x14ac:dyDescent="0.35">
      <c r="A54" s="8">
        <v>29707</v>
      </c>
      <c r="B54" s="9">
        <v>1.26E-2</v>
      </c>
      <c r="C54" s="9">
        <v>-8.0600000000000005E-2</v>
      </c>
      <c r="D54" s="9">
        <v>4.5899999999999996E-2</v>
      </c>
      <c r="E54" s="9">
        <v>-0.23800000000000002</v>
      </c>
      <c r="F54" s="9">
        <v>-7.2000000000000008E-2</v>
      </c>
      <c r="G54" s="9">
        <v>4.4000000000000003E-3</v>
      </c>
      <c r="H54" s="9">
        <v>-2.8999999999999998E-2</v>
      </c>
      <c r="I54" s="10">
        <f t="shared" si="0"/>
        <v>-3.8982532766932435E-2</v>
      </c>
    </row>
    <row r="55" spans="1:9" x14ac:dyDescent="0.35">
      <c r="A55" s="8">
        <v>29738</v>
      </c>
      <c r="B55" s="9">
        <v>-1.0099999999999998E-2</v>
      </c>
      <c r="C55" s="9">
        <v>-4.5999999999999999E-2</v>
      </c>
      <c r="D55" s="9">
        <v>5.1000000000000004E-3</v>
      </c>
      <c r="E55" s="9">
        <v>-7.6799999999999993E-2</v>
      </c>
      <c r="F55" s="9">
        <v>3.3300000000000003E-2</v>
      </c>
      <c r="G55" s="9">
        <v>-0.2024</v>
      </c>
      <c r="H55" s="9">
        <v>3.7900000000000003E-2</v>
      </c>
      <c r="I55" s="10">
        <f t="shared" si="0"/>
        <v>-2.2675283644103997E-2</v>
      </c>
    </row>
    <row r="56" spans="1:9" x14ac:dyDescent="0.35">
      <c r="A56" s="8">
        <v>29768</v>
      </c>
      <c r="B56" s="9">
        <v>-3.0000000000000005E-3</v>
      </c>
      <c r="C56" s="9">
        <v>-3.8699999999999998E-2</v>
      </c>
      <c r="D56" s="9">
        <v>-6.2400000000000004E-2</v>
      </c>
      <c r="E56" s="9">
        <v>8.2799999999999999E-2</v>
      </c>
      <c r="F56" s="9">
        <v>-1.77E-2</v>
      </c>
      <c r="G56" s="9">
        <v>-0.10460000000000001</v>
      </c>
      <c r="H56" s="9">
        <v>-3.8599999999999995E-2</v>
      </c>
      <c r="I56" s="10">
        <f t="shared" si="0"/>
        <v>-1.324257755306453E-2</v>
      </c>
    </row>
    <row r="57" spans="1:9" x14ac:dyDescent="0.35">
      <c r="A57" s="8">
        <v>29799</v>
      </c>
      <c r="B57" s="9">
        <v>-5.7500000000000002E-2</v>
      </c>
      <c r="C57" s="9">
        <v>4.58E-2</v>
      </c>
      <c r="D57" s="9">
        <v>1.3600000000000001E-2</v>
      </c>
      <c r="E57" s="9">
        <v>5.5500000000000001E-2</v>
      </c>
      <c r="F57" s="9">
        <v>-4.5999999999999999E-3</v>
      </c>
      <c r="G57" s="9">
        <v>0.1152</v>
      </c>
      <c r="H57" s="9">
        <v>4.7100000000000003E-2</v>
      </c>
      <c r="I57" s="10">
        <f t="shared" si="0"/>
        <v>-5.9694412704608679E-3</v>
      </c>
    </row>
    <row r="58" spans="1:9" x14ac:dyDescent="0.35">
      <c r="A58" s="8">
        <v>29830</v>
      </c>
      <c r="B58" s="9">
        <v>-5.9299999999999999E-2</v>
      </c>
      <c r="C58" s="9">
        <v>-0.17879999999999999</v>
      </c>
      <c r="D58" s="9">
        <v>-0.155</v>
      </c>
      <c r="E58" s="9">
        <v>4.2099999999999999E-2</v>
      </c>
      <c r="F58" s="9">
        <v>-1.06E-2</v>
      </c>
      <c r="G58" s="9">
        <v>-0.12659999999999999</v>
      </c>
      <c r="H58" s="9">
        <v>-9.98E-2</v>
      </c>
      <c r="I58" s="10">
        <f t="shared" si="0"/>
        <v>-9.7951602663200479E-2</v>
      </c>
    </row>
    <row r="59" spans="1:9" x14ac:dyDescent="0.35">
      <c r="A59" s="8">
        <v>29860</v>
      </c>
      <c r="B59" s="9">
        <v>6.13E-2</v>
      </c>
      <c r="C59" s="9">
        <v>5.7599999999999998E-2</v>
      </c>
      <c r="D59" s="9">
        <v>-3.4999999999999996E-3</v>
      </c>
      <c r="E59" s="9">
        <v>-3.6200000000000003E-2</v>
      </c>
      <c r="F59" s="9">
        <v>3.0800000000000001E-2</v>
      </c>
      <c r="G59" s="9">
        <v>-8.3299999999999999E-2</v>
      </c>
      <c r="H59" s="9">
        <v>-4.0000000000000001E-3</v>
      </c>
      <c r="I59" s="10">
        <f t="shared" si="0"/>
        <v>4.8863497419824979E-2</v>
      </c>
    </row>
    <row r="60" spans="1:9" x14ac:dyDescent="0.35">
      <c r="A60" s="8">
        <v>29891</v>
      </c>
      <c r="B60" s="9">
        <v>4.4299999999999999E-2</v>
      </c>
      <c r="C60" s="9">
        <v>0.19059999999999999</v>
      </c>
      <c r="D60" s="9">
        <v>0.13500000000000001</v>
      </c>
      <c r="E60" s="9">
        <v>7.6999999999999999E-2</v>
      </c>
      <c r="F60" s="9">
        <v>5.8099999999999999E-2</v>
      </c>
      <c r="G60" s="9">
        <v>0.10779999999999999</v>
      </c>
      <c r="H60" s="9">
        <v>9.6999999999999989E-2</v>
      </c>
      <c r="I60" s="10">
        <f t="shared" si="0"/>
        <v>0.1017966160085257</v>
      </c>
    </row>
    <row r="61" spans="1:9" x14ac:dyDescent="0.35">
      <c r="A61" s="8">
        <v>29921</v>
      </c>
      <c r="B61" s="9">
        <v>-2.7799999999999998E-2</v>
      </c>
      <c r="C61" s="9">
        <v>-3.5099999999999999E-2</v>
      </c>
      <c r="D61" s="9">
        <v>-4.4400000000000002E-2</v>
      </c>
      <c r="E61" s="9">
        <v>-3.7699999999999997E-2</v>
      </c>
      <c r="F61" s="9">
        <v>-4.58E-2</v>
      </c>
      <c r="G61" s="9">
        <v>-3.78E-2</v>
      </c>
      <c r="H61" s="9">
        <v>1.3100000000000001E-2</v>
      </c>
      <c r="I61" s="10">
        <f t="shared" si="0"/>
        <v>-2.790844310258429E-2</v>
      </c>
    </row>
    <row r="62" spans="1:9" x14ac:dyDescent="0.35">
      <c r="A62" s="8">
        <v>29952</v>
      </c>
      <c r="B62" s="9">
        <v>-2.4400000000000005E-2</v>
      </c>
      <c r="C62" s="9">
        <v>3.49E-2</v>
      </c>
      <c r="D62" s="9">
        <v>-9.6999999999999989E-2</v>
      </c>
      <c r="E62" s="9">
        <v>5.7999999999999996E-2</v>
      </c>
      <c r="F62" s="9">
        <v>1.1000000000000001E-3</v>
      </c>
      <c r="G62" s="9">
        <v>-4.4800000000000006E-2</v>
      </c>
      <c r="H62" s="9">
        <v>-3.04E-2</v>
      </c>
      <c r="I62" s="10">
        <f t="shared" si="0"/>
        <v>1.0740053649402228E-3</v>
      </c>
    </row>
    <row r="63" spans="1:9" x14ac:dyDescent="0.35">
      <c r="A63" s="8">
        <v>29983</v>
      </c>
      <c r="B63" s="9">
        <v>-4.9400000000000006E-2</v>
      </c>
      <c r="C63" s="9">
        <v>-8.3299999999999999E-2</v>
      </c>
      <c r="D63" s="9">
        <v>-8.8499999999999995E-2</v>
      </c>
      <c r="E63" s="9">
        <v>4.2000000000000003E-2</v>
      </c>
      <c r="F63" s="9">
        <v>-1.9299999999999998E-2</v>
      </c>
      <c r="G63" s="9">
        <v>2.8500000000000001E-2</v>
      </c>
      <c r="H63" s="9">
        <v>-6.3700000000000007E-2</v>
      </c>
      <c r="I63" s="10">
        <f t="shared" si="0"/>
        <v>-5.6706945083608989E-2</v>
      </c>
    </row>
    <row r="64" spans="1:9" x14ac:dyDescent="0.35">
      <c r="A64" s="8">
        <v>30011</v>
      </c>
      <c r="B64" s="9">
        <v>-8.9000000000000017E-3</v>
      </c>
      <c r="C64" s="9">
        <v>1.8799999999999997E-2</v>
      </c>
      <c r="D64" s="9">
        <v>-4.5599999999999995E-2</v>
      </c>
      <c r="E64" s="9">
        <v>-0.10199999999999999</v>
      </c>
      <c r="F64" s="9">
        <v>2.2200000000000001E-2</v>
      </c>
      <c r="G64" s="9">
        <v>-3.3799999999999997E-2</v>
      </c>
      <c r="H64" s="9">
        <v>-7.6799999999999993E-2</v>
      </c>
      <c r="I64" s="10">
        <f t="shared" si="0"/>
        <v>-9.8216090838356158E-3</v>
      </c>
    </row>
    <row r="65" spans="1:9" x14ac:dyDescent="0.35">
      <c r="A65" s="8">
        <v>30042</v>
      </c>
      <c r="B65" s="9">
        <v>4.4000000000000004E-2</v>
      </c>
      <c r="C65" s="9">
        <v>1.7899999999999999E-2</v>
      </c>
      <c r="D65" s="9">
        <v>-1.04E-2</v>
      </c>
      <c r="E65" s="9">
        <v>9.4899999999999998E-2</v>
      </c>
      <c r="F65" s="9">
        <v>3.15E-2</v>
      </c>
      <c r="G65" s="9">
        <v>-3.2599999999999997E-2</v>
      </c>
      <c r="H65" s="9">
        <v>6.59E-2</v>
      </c>
      <c r="I65" s="10">
        <f t="shared" si="0"/>
        <v>3.9508928051627201E-2</v>
      </c>
    </row>
    <row r="66" spans="1:9" x14ac:dyDescent="0.35">
      <c r="A66" s="8">
        <v>30072</v>
      </c>
      <c r="B66" s="9">
        <v>-2.9300000000000003E-2</v>
      </c>
      <c r="C66" s="9">
        <v>4.3200000000000002E-2</v>
      </c>
      <c r="D66" s="9">
        <v>-1.8200000000000001E-2</v>
      </c>
      <c r="E66" s="9">
        <v>-1.54E-2</v>
      </c>
      <c r="F66" s="9">
        <v>-2.4700000000000003E-2</v>
      </c>
      <c r="G66" s="9">
        <v>-8.72E-2</v>
      </c>
      <c r="H66" s="9">
        <v>-3.7900000000000003E-2</v>
      </c>
      <c r="I66" s="10">
        <f t="shared" ref="I66:I129" si="4">SUMPRODUCT(B66:H66,$M$5:$S$5)</f>
        <v>-3.6557457098076568E-3</v>
      </c>
    </row>
    <row r="67" spans="1:9" x14ac:dyDescent="0.35">
      <c r="A67" s="8">
        <v>30103</v>
      </c>
      <c r="B67" s="9">
        <v>-2.1299999999999999E-2</v>
      </c>
      <c r="C67" s="9">
        <v>-6.8499999999999991E-2</v>
      </c>
      <c r="D67" s="9">
        <v>-0.13220000000000001</v>
      </c>
      <c r="E67" s="9">
        <v>-0.16889999999999999</v>
      </c>
      <c r="F67" s="9">
        <v>-7.17E-2</v>
      </c>
      <c r="G67" s="9">
        <v>-0.14380000000000001</v>
      </c>
      <c r="H67" s="9">
        <v>-5.7699999999999994E-2</v>
      </c>
      <c r="I67" s="10">
        <f t="shared" si="4"/>
        <v>-4.9908771749381221E-2</v>
      </c>
    </row>
    <row r="68" spans="1:9" x14ac:dyDescent="0.35">
      <c r="A68" s="8">
        <v>30133</v>
      </c>
      <c r="B68" s="9">
        <v>-2.1399999999999995E-2</v>
      </c>
      <c r="C68" s="9">
        <v>3.8399999999999997E-2</v>
      </c>
      <c r="D68" s="9">
        <v>7.3899999999999993E-2</v>
      </c>
      <c r="E68" s="9">
        <v>-4.0800000000000003E-2</v>
      </c>
      <c r="F68" s="9">
        <v>8.0000000000000004E-4</v>
      </c>
      <c r="G68" s="9">
        <v>7.4200000000000002E-2</v>
      </c>
      <c r="H68" s="9">
        <v>-3.15E-2</v>
      </c>
      <c r="I68" s="10">
        <f t="shared" si="4"/>
        <v>-2.2057962027056404E-3</v>
      </c>
    </row>
    <row r="69" spans="1:9" x14ac:dyDescent="0.35">
      <c r="A69" s="8">
        <v>30164</v>
      </c>
      <c r="B69" s="9">
        <v>0.11900000000000001</v>
      </c>
      <c r="C69" s="9">
        <v>1.6799999999999999E-2</v>
      </c>
      <c r="D69" s="9">
        <v>0.1855</v>
      </c>
      <c r="E69" s="9">
        <v>3.0899999999999997E-2</v>
      </c>
      <c r="F69" s="9">
        <v>-2.3300000000000001E-2</v>
      </c>
      <c r="G69" s="9">
        <v>1.8200000000000001E-2</v>
      </c>
      <c r="H69" s="9">
        <v>-9.300000000000001E-3</v>
      </c>
      <c r="I69" s="10">
        <f t="shared" si="4"/>
        <v>6.6884113955589533E-2</v>
      </c>
    </row>
    <row r="70" spans="1:9" x14ac:dyDescent="0.35">
      <c r="A70" s="8">
        <v>30195</v>
      </c>
      <c r="B70" s="9">
        <v>1.8000000000000002E-2</v>
      </c>
      <c r="C70" s="9">
        <v>4.4500000000000005E-2</v>
      </c>
      <c r="D70" s="9">
        <v>-2.0400000000000001E-2</v>
      </c>
      <c r="E70" s="9">
        <v>-4.8099999999999997E-2</v>
      </c>
      <c r="F70" s="9">
        <v>4.0899999999999999E-2</v>
      </c>
      <c r="G70" s="9">
        <v>-3.3300000000000003E-2</v>
      </c>
      <c r="H70" s="9">
        <v>-3.7400000000000003E-2</v>
      </c>
      <c r="I70" s="10">
        <f t="shared" si="4"/>
        <v>1.9191449903065379E-2</v>
      </c>
    </row>
    <row r="71" spans="1:9" x14ac:dyDescent="0.35">
      <c r="A71" s="8">
        <v>30225</v>
      </c>
      <c r="B71" s="9">
        <v>0.11890000000000001</v>
      </c>
      <c r="C71" s="9">
        <v>1.1599999999999999E-2</v>
      </c>
      <c r="D71" s="9">
        <v>0.1149</v>
      </c>
      <c r="E71" s="9">
        <v>1.24E-2</v>
      </c>
      <c r="F71" s="9">
        <v>-1.8799999999999997E-2</v>
      </c>
      <c r="G71" s="9">
        <v>-2.53E-2</v>
      </c>
      <c r="H71" s="9">
        <v>-3.7000000000000002E-3</v>
      </c>
      <c r="I71" s="10">
        <f t="shared" si="4"/>
        <v>6.4363832698668091E-2</v>
      </c>
    </row>
    <row r="72" spans="1:9" x14ac:dyDescent="0.35">
      <c r="A72" s="8">
        <v>30256</v>
      </c>
      <c r="B72" s="9">
        <v>5.2999999999999999E-2</v>
      </c>
      <c r="C72" s="9">
        <v>-2.29E-2</v>
      </c>
      <c r="D72" s="9">
        <v>1.2699999999999999E-2</v>
      </c>
      <c r="E72" s="9">
        <v>4.9400000000000006E-2</v>
      </c>
      <c r="F72" s="9">
        <v>5.3499999999999999E-2</v>
      </c>
      <c r="G72" s="9">
        <v>6.7400000000000002E-2</v>
      </c>
      <c r="H72" s="9">
        <v>0.17929999999999999</v>
      </c>
      <c r="I72" s="10">
        <f t="shared" si="4"/>
        <v>3.5952160240070474E-2</v>
      </c>
    </row>
    <row r="73" spans="1:9" x14ac:dyDescent="0.35">
      <c r="A73" s="8">
        <v>30286</v>
      </c>
      <c r="B73" s="9">
        <v>1.2200000000000003E-2</v>
      </c>
      <c r="C73" s="9">
        <v>2.1400000000000002E-2</v>
      </c>
      <c r="D73" s="9">
        <v>7.2499999999999995E-2</v>
      </c>
      <c r="E73" s="9">
        <v>3.4200000000000001E-2</v>
      </c>
      <c r="F73" s="9">
        <v>0.10800000000000001</v>
      </c>
      <c r="G73" s="9">
        <v>2.8199999999999999E-2</v>
      </c>
      <c r="H73" s="9">
        <v>0.1148</v>
      </c>
      <c r="I73" s="10">
        <f t="shared" si="4"/>
        <v>2.5385684337236546E-2</v>
      </c>
    </row>
    <row r="74" spans="1:9" x14ac:dyDescent="0.35">
      <c r="A74" s="8">
        <v>30317</v>
      </c>
      <c r="B74" s="9">
        <v>4.2900000000000001E-2</v>
      </c>
      <c r="C74" s="9">
        <v>-1.89E-2</v>
      </c>
      <c r="D74" s="9">
        <v>2.4300000000000002E-2</v>
      </c>
      <c r="E74" s="9">
        <v>3.4700000000000002E-2</v>
      </c>
      <c r="F74" s="9">
        <v>-3.27E-2</v>
      </c>
      <c r="G74" s="9">
        <v>0.1032</v>
      </c>
      <c r="H74" s="9">
        <v>-3.3799999999999997E-2</v>
      </c>
      <c r="I74" s="10">
        <f t="shared" si="4"/>
        <v>1.4234558645874218E-2</v>
      </c>
    </row>
    <row r="75" spans="1:9" x14ac:dyDescent="0.35">
      <c r="A75" s="8">
        <v>30348</v>
      </c>
      <c r="B75" s="9">
        <v>3.2099999999999997E-2</v>
      </c>
      <c r="C75" s="9">
        <v>4.1999999999999997E-3</v>
      </c>
      <c r="D75" s="9">
        <v>3.39E-2</v>
      </c>
      <c r="E75" s="9">
        <v>3.9699999999999999E-2</v>
      </c>
      <c r="F75" s="9">
        <v>8.2699999999999996E-2</v>
      </c>
      <c r="G75" s="9">
        <v>0.1027</v>
      </c>
      <c r="H75" s="9">
        <v>1.72E-2</v>
      </c>
      <c r="I75" s="10">
        <f t="shared" si="4"/>
        <v>2.1963247072800868E-2</v>
      </c>
    </row>
    <row r="76" spans="1:9" x14ac:dyDescent="0.35">
      <c r="A76" s="8">
        <v>30376</v>
      </c>
      <c r="B76" s="9">
        <v>3.4499999999999996E-2</v>
      </c>
      <c r="C76" s="9">
        <v>8.3999999999999995E-3</v>
      </c>
      <c r="D76" s="9">
        <v>3.0800000000000001E-2</v>
      </c>
      <c r="E76" s="9">
        <v>2.6800000000000001E-2</v>
      </c>
      <c r="F76" s="9">
        <v>0.1215</v>
      </c>
      <c r="G76" s="9">
        <v>3.9800000000000002E-2</v>
      </c>
      <c r="H76" s="9">
        <v>2.6099999999999998E-2</v>
      </c>
      <c r="I76" s="10">
        <f t="shared" si="4"/>
        <v>2.483601870298156E-2</v>
      </c>
    </row>
    <row r="77" spans="1:9" x14ac:dyDescent="0.35">
      <c r="A77" s="8">
        <v>30407</v>
      </c>
      <c r="B77" s="9">
        <v>7.3800000000000004E-2</v>
      </c>
      <c r="C77" s="9">
        <v>0.14279999999999998</v>
      </c>
      <c r="D77" s="9">
        <v>0.10630000000000001</v>
      </c>
      <c r="E77" s="9">
        <v>3.9100000000000003E-2</v>
      </c>
      <c r="F77" s="9">
        <v>4.9100000000000005E-2</v>
      </c>
      <c r="G77" s="9">
        <v>-7.4299999999999991E-2</v>
      </c>
      <c r="H77" s="9">
        <v>2.5499999999999998E-2</v>
      </c>
      <c r="I77" s="10">
        <f t="shared" si="4"/>
        <v>9.2010146344256555E-2</v>
      </c>
    </row>
    <row r="78" spans="1:9" x14ac:dyDescent="0.35">
      <c r="A78" s="8">
        <v>30437</v>
      </c>
      <c r="B78" s="9">
        <v>1.21E-2</v>
      </c>
      <c r="C78" s="9">
        <v>3.27E-2</v>
      </c>
      <c r="D78" s="9">
        <v>2.69E-2</v>
      </c>
      <c r="E78" s="9">
        <v>2.2499999999999999E-2</v>
      </c>
      <c r="F78" s="9">
        <v>-7.3300000000000004E-2</v>
      </c>
      <c r="G78" s="9">
        <v>-6.1500000000000006E-2</v>
      </c>
      <c r="H78" s="9">
        <v>4.1999999999999997E-3</v>
      </c>
      <c r="I78" s="10">
        <f t="shared" si="4"/>
        <v>1.8741955293436689E-2</v>
      </c>
    </row>
    <row r="79" spans="1:9" x14ac:dyDescent="0.35">
      <c r="A79" s="8">
        <v>30468</v>
      </c>
      <c r="B79" s="9">
        <v>3.7399999999999996E-2</v>
      </c>
      <c r="C79" s="9">
        <v>3.0999999999999999E-3</v>
      </c>
      <c r="D79" s="9">
        <v>2.1600000000000001E-2</v>
      </c>
      <c r="E79" s="9">
        <v>-2.2400000000000003E-2</v>
      </c>
      <c r="F79" s="9">
        <v>4.1100000000000005E-2</v>
      </c>
      <c r="G79" s="9">
        <v>1.1000000000000001E-3</v>
      </c>
      <c r="H79" s="9">
        <v>2.18E-2</v>
      </c>
      <c r="I79" s="10">
        <f t="shared" si="4"/>
        <v>2.0585745766924134E-2</v>
      </c>
    </row>
    <row r="80" spans="1:9" x14ac:dyDescent="0.35">
      <c r="A80" s="8">
        <v>30498</v>
      </c>
      <c r="B80" s="9">
        <v>-3.3300000000000003E-2</v>
      </c>
      <c r="C80" s="9">
        <v>-3.2000000000000001E-2</v>
      </c>
      <c r="D80" s="9">
        <v>6.4000000000000003E-3</v>
      </c>
      <c r="E80" s="9">
        <v>-4.5000000000000005E-3</v>
      </c>
      <c r="F80" s="9">
        <v>-1.38E-2</v>
      </c>
      <c r="G80" s="9">
        <v>3.0999999999999999E-3</v>
      </c>
      <c r="H80" s="9">
        <v>1.0800000000000001E-2</v>
      </c>
      <c r="I80" s="10">
        <f t="shared" si="4"/>
        <v>-2.7554417516468404E-2</v>
      </c>
    </row>
    <row r="81" spans="1:9" x14ac:dyDescent="0.35">
      <c r="A81" s="8">
        <v>30529</v>
      </c>
      <c r="B81" s="9">
        <v>2.5999999999999999E-3</v>
      </c>
      <c r="C81" s="9">
        <v>-6.3E-3</v>
      </c>
      <c r="D81" s="9">
        <v>1.1000000000000001E-3</v>
      </c>
      <c r="E81" s="9">
        <v>3.9800000000000002E-2</v>
      </c>
      <c r="F81" s="9">
        <v>-7.8700000000000006E-2</v>
      </c>
      <c r="G81" s="9">
        <v>-7.4999999999999997E-3</v>
      </c>
      <c r="H81" s="9">
        <v>-1.23E-2</v>
      </c>
      <c r="I81" s="10">
        <f t="shared" si="4"/>
        <v>-1.6368898548496246E-5</v>
      </c>
    </row>
    <row r="82" spans="1:9" x14ac:dyDescent="0.35">
      <c r="A82" s="8">
        <v>30560</v>
      </c>
      <c r="B82" s="9">
        <v>1.6800000000000002E-2</v>
      </c>
      <c r="C82" s="9">
        <v>-4.3E-3</v>
      </c>
      <c r="D82" s="9">
        <v>2.0400000000000001E-2</v>
      </c>
      <c r="E82" s="9">
        <v>4.6699999999999998E-2</v>
      </c>
      <c r="F82" s="9">
        <v>5.3399999999999996E-2</v>
      </c>
      <c r="G82" s="9">
        <v>-1.55E-2</v>
      </c>
      <c r="H82" s="9">
        <v>7.3300000000000004E-2</v>
      </c>
      <c r="I82" s="10">
        <f t="shared" si="4"/>
        <v>1.5832547901877658E-2</v>
      </c>
    </row>
    <row r="83" spans="1:9" x14ac:dyDescent="0.35">
      <c r="A83" s="8">
        <v>30590</v>
      </c>
      <c r="B83" s="9">
        <v>-2.6799999999999997E-2</v>
      </c>
      <c r="C83" s="9">
        <v>-1.8100000000000002E-2</v>
      </c>
      <c r="D83" s="9">
        <v>-0.06</v>
      </c>
      <c r="E83" s="9">
        <v>2.0999999999999999E-3</v>
      </c>
      <c r="F83" s="9">
        <v>8.7499999999999994E-2</v>
      </c>
      <c r="G83" s="9">
        <v>-5.3800000000000001E-2</v>
      </c>
      <c r="H83" s="9">
        <v>5.9999999999999995E-4</v>
      </c>
      <c r="I83" s="10">
        <f t="shared" si="4"/>
        <v>-1.908222954382166E-2</v>
      </c>
    </row>
    <row r="84" spans="1:9" x14ac:dyDescent="0.35">
      <c r="A84" s="8">
        <v>30621</v>
      </c>
      <c r="B84" s="9">
        <v>2.8600000000000004E-2</v>
      </c>
      <c r="C84" s="9">
        <v>3.9E-2</v>
      </c>
      <c r="D84" s="9">
        <v>8.3599999999999994E-2</v>
      </c>
      <c r="E84" s="9">
        <v>2.9600000000000001E-2</v>
      </c>
      <c r="F84" s="9">
        <v>-1.1000000000000001E-2</v>
      </c>
      <c r="G84" s="9">
        <v>7.4000000000000003E-3</v>
      </c>
      <c r="H84" s="9">
        <v>1.6000000000000001E-3</v>
      </c>
      <c r="I84" s="10">
        <f t="shared" si="4"/>
        <v>2.9936556233272148E-2</v>
      </c>
    </row>
    <row r="85" spans="1:9" x14ac:dyDescent="0.35">
      <c r="A85" s="8">
        <v>30651</v>
      </c>
      <c r="B85" s="9">
        <v>-1.0500000000000001E-2</v>
      </c>
      <c r="C85" s="9">
        <v>7.6E-3</v>
      </c>
      <c r="D85" s="9">
        <v>-8.199999999999999E-3</v>
      </c>
      <c r="E85" s="9">
        <v>2.63E-2</v>
      </c>
      <c r="F85" s="9">
        <v>8.0000000000000002E-3</v>
      </c>
      <c r="G85" s="9">
        <v>-8.6E-3</v>
      </c>
      <c r="H85" s="9">
        <v>7.6600000000000001E-2</v>
      </c>
      <c r="I85" s="10">
        <f t="shared" si="4"/>
        <v>4.9526191963250059E-3</v>
      </c>
    </row>
    <row r="86" spans="1:9" x14ac:dyDescent="0.35">
      <c r="A86" s="8">
        <v>30682</v>
      </c>
      <c r="B86" s="9">
        <v>-1.1599999999999999E-2</v>
      </c>
      <c r="C86" s="9">
        <v>3.5099999999999999E-2</v>
      </c>
      <c r="D86" s="9">
        <v>-3.85E-2</v>
      </c>
      <c r="E86" s="9">
        <v>6.1399999999999996E-2</v>
      </c>
      <c r="F86" s="9">
        <v>3.3E-3</v>
      </c>
      <c r="G86" s="9">
        <v>0.17069999999999999</v>
      </c>
      <c r="H86" s="9">
        <v>5.2999999999999999E-2</v>
      </c>
      <c r="I86" s="10">
        <f t="shared" si="4"/>
        <v>1.4292595377253105E-2</v>
      </c>
    </row>
    <row r="87" spans="1:9" x14ac:dyDescent="0.35">
      <c r="A87" s="8">
        <v>30713</v>
      </c>
      <c r="B87" s="9">
        <v>-4.1100000000000005E-2</v>
      </c>
      <c r="C87" s="9">
        <v>4.5700000000000005E-2</v>
      </c>
      <c r="D87" s="9">
        <v>-1.1399999999999999E-2</v>
      </c>
      <c r="E87" s="9">
        <v>2.0499999999999997E-2</v>
      </c>
      <c r="F87" s="9">
        <v>3.3300000000000003E-2</v>
      </c>
      <c r="G87" s="9">
        <v>1.2800000000000001E-2</v>
      </c>
      <c r="H87" s="9">
        <v>-1.1000000000000001E-3</v>
      </c>
      <c r="I87" s="10">
        <f t="shared" si="4"/>
        <v>-3.310336603327275E-3</v>
      </c>
    </row>
    <row r="88" spans="1:9" x14ac:dyDescent="0.35">
      <c r="A88" s="8">
        <v>30742</v>
      </c>
      <c r="B88" s="9">
        <v>1.3599999999999999E-2</v>
      </c>
      <c r="C88" s="9">
        <v>3.6600000000000001E-2</v>
      </c>
      <c r="D88" s="9">
        <v>-2.7699999999999999E-2</v>
      </c>
      <c r="E88" s="9">
        <v>2.2599999999999999E-2</v>
      </c>
      <c r="F88" s="9">
        <v>9.0000000000000011E-3</v>
      </c>
      <c r="G88" s="9">
        <v>5.1000000000000004E-3</v>
      </c>
      <c r="H88" s="9">
        <v>0.18059999999999998</v>
      </c>
      <c r="I88" s="10">
        <f t="shared" si="4"/>
        <v>3.5142059845776612E-2</v>
      </c>
    </row>
    <row r="89" spans="1:9" x14ac:dyDescent="0.35">
      <c r="A89" s="8">
        <v>30773</v>
      </c>
      <c r="B89" s="9">
        <v>2.9000000000000002E-3</v>
      </c>
      <c r="C89" s="9">
        <v>-5.5000000000000005E-3</v>
      </c>
      <c r="D89" s="9">
        <v>-2.6800000000000001E-2</v>
      </c>
      <c r="E89" s="9">
        <v>5.4600000000000003E-2</v>
      </c>
      <c r="F89" s="9">
        <v>-3.8599999999999995E-2</v>
      </c>
      <c r="G89" s="9">
        <v>-5.2900000000000003E-2</v>
      </c>
      <c r="H89" s="9">
        <v>-1.9099999999999999E-2</v>
      </c>
      <c r="I89" s="10">
        <f t="shared" si="4"/>
        <v>1.0581754485385179E-3</v>
      </c>
    </row>
    <row r="90" spans="1:9" x14ac:dyDescent="0.35">
      <c r="A90" s="8">
        <v>30803</v>
      </c>
      <c r="B90" s="9">
        <v>-5.1899999999999995E-2</v>
      </c>
      <c r="C90" s="9">
        <v>-0.1085</v>
      </c>
      <c r="D90" s="9">
        <v>-4.36E-2</v>
      </c>
      <c r="E90" s="9">
        <v>-3.1300000000000001E-2</v>
      </c>
      <c r="F90" s="9">
        <v>-4.1900000000000007E-2</v>
      </c>
      <c r="G90" s="9">
        <v>-4.9500000000000002E-2</v>
      </c>
      <c r="H90" s="9">
        <v>-0.12529999999999999</v>
      </c>
      <c r="I90" s="10">
        <f t="shared" si="4"/>
        <v>-7.615396082548867E-2</v>
      </c>
    </row>
    <row r="91" spans="1:9" x14ac:dyDescent="0.35">
      <c r="A91" s="8">
        <v>30834</v>
      </c>
      <c r="B91" s="9">
        <v>2.5700000000000004E-2</v>
      </c>
      <c r="C91" s="9">
        <v>4.0000000000000002E-4</v>
      </c>
      <c r="D91" s="9">
        <v>-2.4199999999999999E-2</v>
      </c>
      <c r="E91" s="9">
        <v>-2.6699999999999998E-2</v>
      </c>
      <c r="F91" s="9">
        <v>2E-3</v>
      </c>
      <c r="G91" s="9">
        <v>9.5999999999999992E-3</v>
      </c>
      <c r="H91" s="9">
        <v>-1.7000000000000001E-3</v>
      </c>
      <c r="I91" s="10">
        <f t="shared" si="4"/>
        <v>1.1380688869509234E-2</v>
      </c>
    </row>
    <row r="92" spans="1:9" x14ac:dyDescent="0.35">
      <c r="A92" s="8">
        <v>30864</v>
      </c>
      <c r="B92" s="9">
        <v>-1.9200000000000005E-2</v>
      </c>
      <c r="C92" s="9">
        <v>-5.8700000000000002E-2</v>
      </c>
      <c r="D92" s="9">
        <v>-2.9300000000000003E-2</v>
      </c>
      <c r="E92" s="9">
        <v>-0.1094</v>
      </c>
      <c r="F92" s="9">
        <v>-9.6999999999999989E-2</v>
      </c>
      <c r="G92" s="9">
        <v>-4.2999999999999997E-2</v>
      </c>
      <c r="H92" s="9">
        <v>-7.1399999999999991E-2</v>
      </c>
      <c r="I92" s="10">
        <f t="shared" si="4"/>
        <v>-4.3077638777189266E-2</v>
      </c>
    </row>
    <row r="93" spans="1:9" x14ac:dyDescent="0.35">
      <c r="A93" s="8">
        <v>30895</v>
      </c>
      <c r="B93" s="9">
        <v>0.11109999999999999</v>
      </c>
      <c r="C93" s="9">
        <v>0.1018</v>
      </c>
      <c r="D93" s="9">
        <v>0.14880000000000002</v>
      </c>
      <c r="E93" s="9">
        <v>0.1096</v>
      </c>
      <c r="F93" s="9">
        <v>6.13E-2</v>
      </c>
      <c r="G93" s="9">
        <v>6.4500000000000002E-2</v>
      </c>
      <c r="H93" s="9">
        <v>9.1799999999999993E-2</v>
      </c>
      <c r="I93" s="10">
        <f t="shared" si="4"/>
        <v>0.10589854269732536</v>
      </c>
    </row>
    <row r="94" spans="1:9" x14ac:dyDescent="0.35">
      <c r="A94" s="8">
        <v>30926</v>
      </c>
      <c r="B94" s="9">
        <v>5.9999999999999941E-4</v>
      </c>
      <c r="C94" s="9">
        <v>-1.9599999999999999E-2</v>
      </c>
      <c r="D94" s="9">
        <v>-8.3000000000000001E-3</v>
      </c>
      <c r="E94" s="9">
        <v>-1.0200000000000001E-2</v>
      </c>
      <c r="F94" s="9">
        <v>1.7899999999999999E-2</v>
      </c>
      <c r="G94" s="9">
        <v>-8.77E-2</v>
      </c>
      <c r="H94" s="9">
        <v>-3.3E-3</v>
      </c>
      <c r="I94" s="10">
        <f t="shared" si="4"/>
        <v>-7.3193332619953576E-3</v>
      </c>
    </row>
    <row r="95" spans="1:9" x14ac:dyDescent="0.35">
      <c r="A95" s="8">
        <v>30956</v>
      </c>
      <c r="B95" s="9">
        <v>1.6000000000000003E-3</v>
      </c>
      <c r="C95" s="9">
        <v>-1.0200000000000001E-2</v>
      </c>
      <c r="D95" s="9">
        <v>-2.0299999999999999E-2</v>
      </c>
      <c r="E95" s="9">
        <v>0</v>
      </c>
      <c r="F95" s="9">
        <v>1.78E-2</v>
      </c>
      <c r="G95" s="9">
        <v>-1.04E-2</v>
      </c>
      <c r="H95" s="9">
        <v>4.4000000000000004E-2</v>
      </c>
      <c r="I95" s="10">
        <f t="shared" si="4"/>
        <v>7.6713033150383218E-4</v>
      </c>
    </row>
    <row r="96" spans="1:9" x14ac:dyDescent="0.35">
      <c r="A96" s="8">
        <v>30987</v>
      </c>
      <c r="B96" s="9">
        <v>-1.03E-2</v>
      </c>
      <c r="C96" s="9">
        <v>1.49E-2</v>
      </c>
      <c r="D96" s="9">
        <v>-3.5999999999999999E-3</v>
      </c>
      <c r="E96" s="9">
        <v>-9.3999999999999986E-3</v>
      </c>
      <c r="F96" s="9">
        <v>-0.01</v>
      </c>
      <c r="G96" s="9">
        <v>8.0000000000000004E-4</v>
      </c>
      <c r="H96" s="9">
        <v>1.1599999999999999E-2</v>
      </c>
      <c r="I96" s="10">
        <f t="shared" si="4"/>
        <v>3.0014000998381375E-4</v>
      </c>
    </row>
    <row r="97" spans="1:9" x14ac:dyDescent="0.35">
      <c r="A97" s="8">
        <v>31017</v>
      </c>
      <c r="B97" s="9">
        <v>2.4799999999999999E-2</v>
      </c>
      <c r="C97" s="9">
        <v>6.1999999999999998E-3</v>
      </c>
      <c r="D97" s="9">
        <v>1.5600000000000001E-2</v>
      </c>
      <c r="E97" s="9">
        <v>-1.2699999999999999E-2</v>
      </c>
      <c r="F97" s="9">
        <v>1.1000000000000001E-3</v>
      </c>
      <c r="G97" s="9">
        <v>7.0099999999999996E-2</v>
      </c>
      <c r="H97" s="9">
        <v>4.0800000000000003E-2</v>
      </c>
      <c r="I97" s="10">
        <f t="shared" si="4"/>
        <v>1.7095484942086649E-2</v>
      </c>
    </row>
    <row r="98" spans="1:9" x14ac:dyDescent="0.35">
      <c r="A98" s="8">
        <v>31048</v>
      </c>
      <c r="B98" s="9">
        <v>8.6400000000000005E-2</v>
      </c>
      <c r="C98" s="9">
        <v>2.1600000000000001E-2</v>
      </c>
      <c r="D98" s="9">
        <v>7.6700000000000004E-2</v>
      </c>
      <c r="E98" s="9">
        <v>5.0099999999999999E-2</v>
      </c>
      <c r="F98" s="9">
        <v>3.4700000000000002E-2</v>
      </c>
      <c r="G98" s="9">
        <v>0.1336</v>
      </c>
      <c r="H98" s="9">
        <v>-8.9999999999999998E-4</v>
      </c>
      <c r="I98" s="10">
        <f t="shared" si="4"/>
        <v>5.4339041454868724E-2</v>
      </c>
    </row>
    <row r="99" spans="1:9" x14ac:dyDescent="0.35">
      <c r="A99" s="8">
        <v>31079</v>
      </c>
      <c r="B99" s="9">
        <v>1.7999999999999999E-2</v>
      </c>
      <c r="C99" s="9">
        <v>-4.4600000000000001E-2</v>
      </c>
      <c r="D99" s="9">
        <v>-4.5499999999999999E-2</v>
      </c>
      <c r="E99" s="9">
        <v>-1.9799999999999998E-2</v>
      </c>
      <c r="F99" s="9">
        <v>-2.98E-2</v>
      </c>
      <c r="G99" s="9">
        <v>1E-4</v>
      </c>
      <c r="H99" s="9">
        <v>3.9199999999999999E-2</v>
      </c>
      <c r="I99" s="10">
        <f t="shared" si="4"/>
        <v>-4.9303273385582231E-3</v>
      </c>
    </row>
    <row r="100" spans="1:9" x14ac:dyDescent="0.35">
      <c r="A100" s="8">
        <v>31107</v>
      </c>
      <c r="B100" s="9">
        <v>-2.1999999999999997E-3</v>
      </c>
      <c r="C100" s="9">
        <v>0.15539999999999998</v>
      </c>
      <c r="D100" s="9">
        <v>3.1300000000000001E-2</v>
      </c>
      <c r="E100" s="9">
        <v>0.12480000000000001</v>
      </c>
      <c r="F100" s="9">
        <v>9.0299999999999991E-2</v>
      </c>
      <c r="G100" s="9">
        <v>1.9699999999999999E-2</v>
      </c>
      <c r="H100" s="9">
        <v>5.5899999999999998E-2</v>
      </c>
      <c r="I100" s="10">
        <f t="shared" si="4"/>
        <v>6.5897327473934314E-2</v>
      </c>
    </row>
    <row r="101" spans="1:9" x14ac:dyDescent="0.35">
      <c r="A101" s="8">
        <v>31138</v>
      </c>
      <c r="B101" s="9">
        <v>-2.3999999999999998E-3</v>
      </c>
      <c r="C101" s="9">
        <v>1.6399999999999998E-2</v>
      </c>
      <c r="D101" s="9">
        <v>8.6999999999999994E-3</v>
      </c>
      <c r="E101" s="9">
        <v>1.8100000000000002E-2</v>
      </c>
      <c r="F101" s="9">
        <v>4.0599999999999997E-2</v>
      </c>
      <c r="G101" s="9">
        <v>3.5000000000000003E-2</v>
      </c>
      <c r="H101" s="9">
        <v>-3.78E-2</v>
      </c>
      <c r="I101" s="10">
        <f t="shared" si="4"/>
        <v>2.9834235407469175E-3</v>
      </c>
    </row>
    <row r="102" spans="1:9" x14ac:dyDescent="0.35">
      <c r="A102" s="8">
        <v>31168</v>
      </c>
      <c r="B102" s="9">
        <v>5.7500000000000002E-2</v>
      </c>
      <c r="C102" s="9">
        <v>6.3E-2</v>
      </c>
      <c r="D102" s="9">
        <v>2.9500000000000002E-2</v>
      </c>
      <c r="E102" s="9">
        <v>8.77E-2</v>
      </c>
      <c r="F102" s="9">
        <v>0.1002</v>
      </c>
      <c r="G102" s="9">
        <v>0.10300000000000001</v>
      </c>
      <c r="H102" s="9">
        <v>3.9199999999999999E-2</v>
      </c>
      <c r="I102" s="10">
        <f t="shared" si="4"/>
        <v>6.012332006920737E-2</v>
      </c>
    </row>
    <row r="103" spans="1:9" x14ac:dyDescent="0.35">
      <c r="A103" s="8">
        <v>31199</v>
      </c>
      <c r="B103" s="9">
        <v>1.8200000000000001E-2</v>
      </c>
      <c r="C103" s="9">
        <v>-3.9100000000000003E-2</v>
      </c>
      <c r="D103" s="9">
        <v>-8.5000000000000006E-3</v>
      </c>
      <c r="E103" s="9">
        <v>-3.2799999999999996E-2</v>
      </c>
      <c r="F103" s="9">
        <v>6.9699999999999998E-2</v>
      </c>
      <c r="G103" s="9">
        <v>0.10060000000000001</v>
      </c>
      <c r="H103" s="9">
        <v>4.6600000000000003E-2</v>
      </c>
      <c r="I103" s="10">
        <f t="shared" si="4"/>
        <v>-2.4073496664111516E-3</v>
      </c>
    </row>
    <row r="104" spans="1:9" x14ac:dyDescent="0.35">
      <c r="A104" s="8">
        <v>31229</v>
      </c>
      <c r="B104" s="9">
        <v>-1.1999999999999999E-3</v>
      </c>
      <c r="C104" s="9">
        <v>0.12820000000000001</v>
      </c>
      <c r="D104" s="9">
        <v>2.6200000000000001E-2</v>
      </c>
      <c r="E104" s="9">
        <v>3.32E-2</v>
      </c>
      <c r="F104" s="9">
        <v>4.3799999999999999E-2</v>
      </c>
      <c r="G104" s="9">
        <v>0.1128</v>
      </c>
      <c r="H104" s="9">
        <v>1.0500000000000001E-2</v>
      </c>
      <c r="I104" s="10">
        <f t="shared" si="4"/>
        <v>4.7504199613391696E-2</v>
      </c>
    </row>
    <row r="105" spans="1:9" x14ac:dyDescent="0.35">
      <c r="A105" s="8">
        <v>31260</v>
      </c>
      <c r="B105" s="9">
        <v>-4.6999999999999993E-3</v>
      </c>
      <c r="C105" s="9">
        <v>4.87E-2</v>
      </c>
      <c r="D105" s="9">
        <v>5.6999999999999993E-3</v>
      </c>
      <c r="E105" s="9">
        <v>4.58E-2</v>
      </c>
      <c r="F105" s="9">
        <v>9.7299999999999998E-2</v>
      </c>
      <c r="G105" s="9">
        <v>6.3399999999999998E-2</v>
      </c>
      <c r="H105" s="9">
        <v>2.3099999999999999E-2</v>
      </c>
      <c r="I105" s="10">
        <f t="shared" si="4"/>
        <v>1.9947703560696937E-2</v>
      </c>
    </row>
    <row r="106" spans="1:9" x14ac:dyDescent="0.35">
      <c r="A106" s="8">
        <v>31291</v>
      </c>
      <c r="B106" s="9">
        <v>-3.9399999999999998E-2</v>
      </c>
      <c r="C106" s="9">
        <v>-3.5900000000000001E-2</v>
      </c>
      <c r="D106" s="9">
        <v>-6.2899999999999998E-2</v>
      </c>
      <c r="E106" s="9">
        <v>-1.5800000000000002E-2</v>
      </c>
      <c r="F106" s="9">
        <v>0.105</v>
      </c>
      <c r="G106" s="9">
        <v>0.115</v>
      </c>
      <c r="H106" s="9">
        <v>0.10289999999999999</v>
      </c>
      <c r="I106" s="10">
        <f t="shared" si="4"/>
        <v>-2.4696337681646092E-2</v>
      </c>
    </row>
    <row r="107" spans="1:9" x14ac:dyDescent="0.35">
      <c r="A107" s="8">
        <v>31321</v>
      </c>
      <c r="B107" s="9">
        <v>4.6699999999999998E-2</v>
      </c>
      <c r="C107" s="9">
        <v>0.1057</v>
      </c>
      <c r="D107" s="9">
        <v>1.3999999999999999E-2</v>
      </c>
      <c r="E107" s="9">
        <v>8.6899999999999991E-2</v>
      </c>
      <c r="F107" s="9">
        <v>0.15179999999999999</v>
      </c>
      <c r="G107" s="9">
        <v>3.7900000000000003E-2</v>
      </c>
      <c r="H107" s="9">
        <v>2.5099999999999997E-2</v>
      </c>
      <c r="I107" s="10">
        <f t="shared" si="4"/>
        <v>6.8882055354114582E-2</v>
      </c>
    </row>
    <row r="108" spans="1:9" x14ac:dyDescent="0.35">
      <c r="A108" s="8">
        <v>31352</v>
      </c>
      <c r="B108" s="9">
        <v>7.0900000000000005E-2</v>
      </c>
      <c r="C108" s="9">
        <v>7.690000000000001E-2</v>
      </c>
      <c r="D108" s="9">
        <v>5.8799999999999998E-2</v>
      </c>
      <c r="E108" s="9">
        <v>0.17149999999999999</v>
      </c>
      <c r="F108" s="9">
        <v>1.78E-2</v>
      </c>
      <c r="G108" s="9">
        <v>0.1118</v>
      </c>
      <c r="H108" s="9">
        <v>1.77E-2</v>
      </c>
      <c r="I108" s="10">
        <f t="shared" si="4"/>
        <v>7.4545854639802095E-2</v>
      </c>
    </row>
    <row r="109" spans="1:9" x14ac:dyDescent="0.35">
      <c r="A109" s="8">
        <v>31382</v>
      </c>
      <c r="B109" s="9">
        <v>4.53E-2</v>
      </c>
      <c r="C109" s="9">
        <v>-4.0800000000000003E-2</v>
      </c>
      <c r="D109" s="9">
        <v>4.1999999999999997E-3</v>
      </c>
      <c r="E109" s="9">
        <v>8.5299999999999987E-2</v>
      </c>
      <c r="F109" s="9">
        <v>0.14699999999999999</v>
      </c>
      <c r="G109" s="9">
        <v>6.9000000000000006E-2</v>
      </c>
      <c r="H109" s="9">
        <v>5.9200000000000003E-2</v>
      </c>
      <c r="I109" s="10">
        <f t="shared" si="4"/>
        <v>1.9277107739353483E-2</v>
      </c>
    </row>
    <row r="110" spans="1:9" x14ac:dyDescent="0.35">
      <c r="A110" s="8">
        <v>31413</v>
      </c>
      <c r="B110" s="9">
        <v>1.21E-2</v>
      </c>
      <c r="C110" s="9">
        <v>1E-4</v>
      </c>
      <c r="D110" s="9">
        <v>-4.4199999999999996E-2</v>
      </c>
      <c r="E110" s="9">
        <v>9.0899999999999995E-2</v>
      </c>
      <c r="F110" s="9">
        <v>3.44E-2</v>
      </c>
      <c r="G110" s="9">
        <v>7.6600000000000001E-2</v>
      </c>
      <c r="H110" s="9">
        <v>2.9300000000000003E-2</v>
      </c>
      <c r="I110" s="10">
        <f t="shared" si="4"/>
        <v>1.4112505814852997E-2</v>
      </c>
    </row>
    <row r="111" spans="1:9" x14ac:dyDescent="0.35">
      <c r="A111" s="8">
        <v>31444</v>
      </c>
      <c r="B111" s="9">
        <v>7.6600000000000001E-2</v>
      </c>
      <c r="C111" s="9">
        <v>0.1275</v>
      </c>
      <c r="D111" s="9">
        <v>9.3999999999999986E-3</v>
      </c>
      <c r="E111" s="9">
        <v>0.17069999999999999</v>
      </c>
      <c r="F111" s="9">
        <v>5.91E-2</v>
      </c>
      <c r="G111" s="9">
        <v>0.2949</v>
      </c>
      <c r="H111" s="9">
        <v>0.11289999999999999</v>
      </c>
      <c r="I111" s="10">
        <f t="shared" si="4"/>
        <v>0.10280998539137177</v>
      </c>
    </row>
    <row r="112" spans="1:9" x14ac:dyDescent="0.35">
      <c r="A112" s="8">
        <v>31472</v>
      </c>
      <c r="B112" s="9">
        <v>5.4799999999999995E-2</v>
      </c>
      <c r="C112" s="9">
        <v>9.6999999999999989E-2</v>
      </c>
      <c r="D112" s="9">
        <v>8.5900000000000004E-2</v>
      </c>
      <c r="E112" s="9">
        <v>0.10779999999999999</v>
      </c>
      <c r="F112" s="9">
        <v>4.5899999999999996E-2</v>
      </c>
      <c r="G112" s="9">
        <v>0.21960000000000002</v>
      </c>
      <c r="H112" s="9">
        <v>0.1953</v>
      </c>
      <c r="I112" s="10">
        <f t="shared" si="4"/>
        <v>8.3636084275502717E-2</v>
      </c>
    </row>
    <row r="113" spans="1:9" x14ac:dyDescent="0.35">
      <c r="A113" s="8">
        <v>31503</v>
      </c>
      <c r="B113" s="9">
        <v>-7.9000000000000008E-3</v>
      </c>
      <c r="C113" s="9">
        <v>4.5499999999999999E-2</v>
      </c>
      <c r="D113" s="9">
        <v>1.3600000000000001E-2</v>
      </c>
      <c r="E113" s="9">
        <v>0.11119999999999999</v>
      </c>
      <c r="F113" s="9">
        <v>0.1133</v>
      </c>
      <c r="G113" s="9">
        <v>0.127</v>
      </c>
      <c r="H113" s="9">
        <v>4.1599999999999998E-2</v>
      </c>
      <c r="I113" s="10">
        <f t="shared" si="4"/>
        <v>2.2686661689268483E-2</v>
      </c>
    </row>
    <row r="114" spans="1:9" x14ac:dyDescent="0.35">
      <c r="A114" s="8">
        <v>31533</v>
      </c>
      <c r="B114" s="9">
        <v>5.1100000000000007E-2</v>
      </c>
      <c r="C114" s="9">
        <v>-7.0000000000000007E-2</v>
      </c>
      <c r="D114" s="9">
        <v>1.1299999999999999E-2</v>
      </c>
      <c r="E114" s="9">
        <v>-0.12770000000000001</v>
      </c>
      <c r="F114" s="9">
        <v>-0.14130000000000001</v>
      </c>
      <c r="G114" s="9">
        <v>-1.52E-2</v>
      </c>
      <c r="H114" s="9">
        <v>1.6200000000000003E-2</v>
      </c>
      <c r="I114" s="10">
        <f t="shared" si="4"/>
        <v>-6.1986244001650068E-3</v>
      </c>
    </row>
    <row r="115" spans="1:9" x14ac:dyDescent="0.35">
      <c r="A115" s="8">
        <v>31564</v>
      </c>
      <c r="B115" s="9">
        <v>1.55E-2</v>
      </c>
      <c r="C115" s="9">
        <v>7.0099999999999996E-2</v>
      </c>
      <c r="D115" s="9">
        <v>-2.0199999999999999E-2</v>
      </c>
      <c r="E115" s="9">
        <v>5.3600000000000002E-2</v>
      </c>
      <c r="F115" s="9">
        <v>3.56E-2</v>
      </c>
      <c r="G115" s="9">
        <v>-0.10460000000000001</v>
      </c>
      <c r="H115" s="9">
        <v>7.8E-2</v>
      </c>
      <c r="I115" s="10">
        <f t="shared" si="4"/>
        <v>4.1942660550208233E-2</v>
      </c>
    </row>
    <row r="116" spans="1:9" x14ac:dyDescent="0.35">
      <c r="A116" s="8">
        <v>31594</v>
      </c>
      <c r="B116" s="9">
        <v>-5.9299999999999999E-2</v>
      </c>
      <c r="C116" s="9">
        <v>-7.7399999999999997E-2</v>
      </c>
      <c r="D116" s="9">
        <v>-4.7899999999999998E-2</v>
      </c>
      <c r="E116" s="9">
        <v>0.10730000000000001</v>
      </c>
      <c r="F116" s="9">
        <v>-2.1299999999999999E-2</v>
      </c>
      <c r="G116" s="9">
        <v>0.18170000000000003</v>
      </c>
      <c r="H116" s="9">
        <v>0.1414</v>
      </c>
      <c r="I116" s="10">
        <f t="shared" si="4"/>
        <v>-3.9802723510787445E-2</v>
      </c>
    </row>
    <row r="117" spans="1:9" x14ac:dyDescent="0.35">
      <c r="A117" s="8">
        <v>31625</v>
      </c>
      <c r="B117" s="9">
        <v>6.5299999999999997E-2</v>
      </c>
      <c r="C117" s="9">
        <v>5.6600000000000004E-2</v>
      </c>
      <c r="D117" s="9">
        <v>4.8799999999999996E-2</v>
      </c>
      <c r="E117" s="9">
        <v>9.9000000000000005E-2</v>
      </c>
      <c r="F117" s="9">
        <v>0.17600000000000002</v>
      </c>
      <c r="G117" s="9">
        <v>0.12720000000000001</v>
      </c>
      <c r="H117" s="9">
        <v>7.9899999999999999E-2</v>
      </c>
      <c r="I117" s="10">
        <f t="shared" si="4"/>
        <v>6.6180595273374776E-2</v>
      </c>
    </row>
    <row r="118" spans="1:9" x14ac:dyDescent="0.35">
      <c r="A118" s="8">
        <v>31656</v>
      </c>
      <c r="B118" s="9">
        <v>-8.1500000000000003E-2</v>
      </c>
      <c r="C118" s="9">
        <v>-7.6100000000000001E-2</v>
      </c>
      <c r="D118" s="9">
        <v>-9.7000000000000003E-3</v>
      </c>
      <c r="E118" s="9">
        <v>-6.1399999999999996E-2</v>
      </c>
      <c r="F118" s="9">
        <v>-4.4000000000000004E-2</v>
      </c>
      <c r="G118" s="9">
        <v>-8.539999999999999E-2</v>
      </c>
      <c r="H118" s="9">
        <v>3.8599999999999995E-2</v>
      </c>
      <c r="I118" s="10">
        <f t="shared" si="4"/>
        <v>-6.8812924012830984E-2</v>
      </c>
    </row>
    <row r="119" spans="1:9" x14ac:dyDescent="0.35">
      <c r="A119" s="8">
        <v>31686</v>
      </c>
      <c r="B119" s="9">
        <v>5.1200000000000002E-2</v>
      </c>
      <c r="C119" s="9">
        <v>1.67E-2</v>
      </c>
      <c r="D119" s="9">
        <v>2.18E-2</v>
      </c>
      <c r="E119" s="9">
        <v>1.9400000000000001E-2</v>
      </c>
      <c r="F119" s="9">
        <v>-5.7999999999999996E-3</v>
      </c>
      <c r="G119" s="9">
        <v>3.5299999999999998E-2</v>
      </c>
      <c r="H119" s="9">
        <v>-0.12560000000000002</v>
      </c>
      <c r="I119" s="10">
        <f t="shared" si="4"/>
        <v>2.3059672660692213E-2</v>
      </c>
    </row>
    <row r="120" spans="1:9" x14ac:dyDescent="0.35">
      <c r="A120" s="8">
        <v>31717</v>
      </c>
      <c r="B120" s="9">
        <v>1.5600000000000001E-2</v>
      </c>
      <c r="C120" s="9">
        <v>4.0599999999999997E-2</v>
      </c>
      <c r="D120" s="9">
        <v>1.2500000000000001E-2</v>
      </c>
      <c r="E120" s="9">
        <v>5.0099999999999999E-2</v>
      </c>
      <c r="F120" s="9">
        <v>9.2699999999999991E-2</v>
      </c>
      <c r="G120" s="9">
        <v>-1.7500000000000002E-2</v>
      </c>
      <c r="H120" s="9">
        <v>4.7300000000000002E-2</v>
      </c>
      <c r="I120" s="10">
        <f t="shared" si="4"/>
        <v>2.9447455962076527E-2</v>
      </c>
    </row>
    <row r="121" spans="1:9" x14ac:dyDescent="0.35">
      <c r="A121" s="8">
        <v>31747</v>
      </c>
      <c r="B121" s="9">
        <v>-2.7800000000000002E-2</v>
      </c>
      <c r="C121" s="9">
        <v>5.5300000000000002E-2</v>
      </c>
      <c r="D121" s="9">
        <v>2.0499999999999997E-2</v>
      </c>
      <c r="E121" s="9">
        <v>8.3999999999999995E-3</v>
      </c>
      <c r="F121" s="9">
        <v>1.1299999999999999E-2</v>
      </c>
      <c r="G121" s="9">
        <v>7.3000000000000001E-3</v>
      </c>
      <c r="H121" s="9">
        <v>8.3299999999999999E-2</v>
      </c>
      <c r="I121" s="10">
        <f t="shared" si="4"/>
        <v>1.2436355958284771E-2</v>
      </c>
    </row>
    <row r="122" spans="1:9" x14ac:dyDescent="0.35">
      <c r="A122" s="8">
        <v>31778</v>
      </c>
      <c r="B122" s="9">
        <v>0.12890000000000001</v>
      </c>
      <c r="C122" s="9">
        <v>0.12859999999999999</v>
      </c>
      <c r="D122" s="9">
        <v>0.13800000000000001</v>
      </c>
      <c r="E122" s="9">
        <v>0.12659999999999999</v>
      </c>
      <c r="F122" s="9">
        <v>-4.1399999999999999E-2</v>
      </c>
      <c r="G122" s="9">
        <v>3.3300000000000003E-2</v>
      </c>
      <c r="H122" s="9">
        <v>0.18090000000000001</v>
      </c>
      <c r="I122" s="10">
        <f t="shared" si="4"/>
        <v>0.13149750925487047</v>
      </c>
    </row>
    <row r="123" spans="1:9" x14ac:dyDescent="0.35">
      <c r="A123" s="8">
        <v>31809</v>
      </c>
      <c r="B123" s="9">
        <v>4.8199999999999993E-2</v>
      </c>
      <c r="C123" s="9">
        <v>0.10529999999999999</v>
      </c>
      <c r="D123" s="9">
        <v>4.5599999999999995E-2</v>
      </c>
      <c r="E123" s="9">
        <v>1.1000000000000001E-2</v>
      </c>
      <c r="F123" s="9">
        <v>-5.8099999999999999E-2</v>
      </c>
      <c r="G123" s="9">
        <v>-4.1200000000000001E-2</v>
      </c>
      <c r="H123" s="9">
        <v>4.3E-3</v>
      </c>
      <c r="I123" s="10">
        <f t="shared" si="4"/>
        <v>6.1852458973082683E-2</v>
      </c>
    </row>
    <row r="124" spans="1:9" x14ac:dyDescent="0.35">
      <c r="A124" s="8">
        <v>31837</v>
      </c>
      <c r="B124" s="9">
        <v>2.1099999999999997E-2</v>
      </c>
      <c r="C124" s="9">
        <v>5.7999999999999996E-2</v>
      </c>
      <c r="D124" s="9">
        <v>0.1026</v>
      </c>
      <c r="E124" s="9">
        <v>6.6500000000000004E-2</v>
      </c>
      <c r="F124" s="9">
        <v>5.3499999999999999E-2</v>
      </c>
      <c r="G124" s="9">
        <v>4.8300000000000003E-2</v>
      </c>
      <c r="H124" s="9">
        <v>0.11199999999999999</v>
      </c>
      <c r="I124" s="10">
        <f t="shared" si="4"/>
        <v>4.4059659372346814E-2</v>
      </c>
    </row>
    <row r="125" spans="1:9" x14ac:dyDescent="0.35">
      <c r="A125" s="8">
        <v>31868</v>
      </c>
      <c r="B125" s="9">
        <v>-1.67E-2</v>
      </c>
      <c r="C125" s="9">
        <v>6.5599999999999992E-2</v>
      </c>
      <c r="D125" s="9">
        <v>-3.0800000000000001E-2</v>
      </c>
      <c r="E125" s="9">
        <v>1.32E-2</v>
      </c>
      <c r="F125" s="9">
        <v>1.6399999999999998E-2</v>
      </c>
      <c r="G125" s="9">
        <v>9.0500000000000011E-2</v>
      </c>
      <c r="H125" s="9">
        <v>0.16889999999999999</v>
      </c>
      <c r="I125" s="10">
        <f t="shared" si="4"/>
        <v>2.8617441818792978E-2</v>
      </c>
    </row>
    <row r="126" spans="1:9" x14ac:dyDescent="0.35">
      <c r="A126" s="8">
        <v>31898</v>
      </c>
      <c r="B126" s="9">
        <v>4.8999999999999998E-3</v>
      </c>
      <c r="C126" s="9">
        <v>4.7899999999999998E-2</v>
      </c>
      <c r="D126" s="9">
        <v>3.7000000000000002E-3</v>
      </c>
      <c r="E126" s="9">
        <v>-5.5800000000000002E-2</v>
      </c>
      <c r="F126" s="9">
        <v>-3.1600000000000003E-2</v>
      </c>
      <c r="G126" s="9">
        <v>-0.11849999999999999</v>
      </c>
      <c r="H126" s="9">
        <v>-1.34E-2</v>
      </c>
      <c r="I126" s="10">
        <f t="shared" si="4"/>
        <v>1.4669305753248492E-2</v>
      </c>
    </row>
    <row r="127" spans="1:9" x14ac:dyDescent="0.35">
      <c r="A127" s="8">
        <v>31929</v>
      </c>
      <c r="B127" s="9">
        <v>4.4199999999999996E-2</v>
      </c>
      <c r="C127" s="9">
        <v>3.7900000000000003E-2</v>
      </c>
      <c r="D127" s="9">
        <v>3.1800000000000002E-2</v>
      </c>
      <c r="E127" s="9">
        <v>-6.2800000000000009E-2</v>
      </c>
      <c r="F127" s="9">
        <v>6.2199999999999998E-2</v>
      </c>
      <c r="G127" s="9">
        <v>-1.29E-2</v>
      </c>
      <c r="H127" s="9">
        <v>-7.7800000000000008E-2</v>
      </c>
      <c r="I127" s="10">
        <f t="shared" si="4"/>
        <v>2.6220014279887863E-2</v>
      </c>
    </row>
    <row r="128" spans="1:9" x14ac:dyDescent="0.35">
      <c r="A128" s="8">
        <v>31959</v>
      </c>
      <c r="B128" s="9">
        <v>4.3100000000000006E-2</v>
      </c>
      <c r="C128" s="9">
        <v>2.9900000000000003E-2</v>
      </c>
      <c r="D128" s="9">
        <v>8.1500000000000003E-2</v>
      </c>
      <c r="E128" s="9">
        <v>2.8999999999999998E-2</v>
      </c>
      <c r="F128" s="9">
        <v>5.0999999999999997E-2</v>
      </c>
      <c r="G128" s="9">
        <v>-1.47E-2</v>
      </c>
      <c r="H128" s="9">
        <v>-3.0499999999999999E-2</v>
      </c>
      <c r="I128" s="10">
        <f t="shared" si="4"/>
        <v>3.1963466523658952E-2</v>
      </c>
    </row>
    <row r="129" spans="1:9" x14ac:dyDescent="0.35">
      <c r="A129" s="8">
        <v>31990</v>
      </c>
      <c r="B129" s="9">
        <v>3.9900000000000005E-2</v>
      </c>
      <c r="C129" s="9">
        <v>-2.23E-2</v>
      </c>
      <c r="D129" s="9">
        <v>-2.8000000000000004E-3</v>
      </c>
      <c r="E129" s="9">
        <v>5.6299999999999996E-2</v>
      </c>
      <c r="F129" s="9">
        <v>3.7999999999999999E-2</v>
      </c>
      <c r="G129" s="9">
        <v>-6.6100000000000006E-2</v>
      </c>
      <c r="H129" s="9">
        <v>0.11960000000000001</v>
      </c>
      <c r="I129" s="10">
        <f t="shared" si="4"/>
        <v>2.5227778341536958E-2</v>
      </c>
    </row>
    <row r="130" spans="1:9" x14ac:dyDescent="0.35">
      <c r="A130" s="8">
        <v>32021</v>
      </c>
      <c r="B130" s="9">
        <v>-2.1399999999999995E-2</v>
      </c>
      <c r="C130" s="9">
        <v>5.8099999999999999E-2</v>
      </c>
      <c r="D130" s="9">
        <v>-1.54E-2</v>
      </c>
      <c r="E130" s="9">
        <v>-6.1399999999999996E-2</v>
      </c>
      <c r="F130" s="9">
        <v>-3.5099999999999999E-2</v>
      </c>
      <c r="G130" s="9">
        <v>1.9699999999999999E-2</v>
      </c>
      <c r="H130" s="9">
        <v>-3.6000000000000004E-2</v>
      </c>
      <c r="I130" s="10">
        <f t="shared" ref="I130:I193" si="5">SUMPRODUCT(B130:H130,$M$5:$S$5)</f>
        <v>2.8697466188191464E-3</v>
      </c>
    </row>
    <row r="131" spans="1:9" x14ac:dyDescent="0.35">
      <c r="A131" s="8">
        <v>32051</v>
      </c>
      <c r="B131" s="9">
        <v>-0.22639999999999996</v>
      </c>
      <c r="C131" s="9">
        <v>-0.2243</v>
      </c>
      <c r="D131" s="9">
        <v>-0.21510000000000001</v>
      </c>
      <c r="E131" s="9">
        <v>-0.19289999999999999</v>
      </c>
      <c r="F131" s="9">
        <v>-0.17350000000000002</v>
      </c>
      <c r="G131" s="9">
        <v>-0.12279999999999999</v>
      </c>
      <c r="H131" s="9">
        <v>-8.2599999999999993E-2</v>
      </c>
      <c r="I131" s="10">
        <f t="shared" si="5"/>
        <v>-0.21211877304854032</v>
      </c>
    </row>
    <row r="132" spans="1:9" x14ac:dyDescent="0.35">
      <c r="A132" s="8">
        <v>32082</v>
      </c>
      <c r="B132" s="9">
        <v>-7.4200000000000002E-2</v>
      </c>
      <c r="C132" s="9">
        <v>-2.9600000000000001E-2</v>
      </c>
      <c r="D132" s="9">
        <v>-2.6200000000000001E-2</v>
      </c>
      <c r="E132" s="9">
        <v>-3.8E-3</v>
      </c>
      <c r="F132" s="9">
        <v>-7.5600000000000001E-2</v>
      </c>
      <c r="G132" s="9">
        <v>0.03</v>
      </c>
      <c r="H132" s="9">
        <v>3.85E-2</v>
      </c>
      <c r="I132" s="10">
        <f t="shared" si="5"/>
        <v>-4.5581670156367597E-2</v>
      </c>
    </row>
    <row r="133" spans="1:9" x14ac:dyDescent="0.35">
      <c r="A133" s="8">
        <v>32112</v>
      </c>
      <c r="B133" s="9">
        <v>7.1999999999999995E-2</v>
      </c>
      <c r="C133" s="9">
        <v>0.11939999999999999</v>
      </c>
      <c r="D133" s="9">
        <v>7.5399999999999995E-2</v>
      </c>
      <c r="E133" s="9">
        <v>4.0000000000000001E-3</v>
      </c>
      <c r="F133" s="9">
        <v>2.6499999999999999E-2</v>
      </c>
      <c r="G133" s="9">
        <v>-3.8900000000000004E-2</v>
      </c>
      <c r="H133" s="9">
        <v>1.5800000000000002E-2</v>
      </c>
      <c r="I133" s="10">
        <f t="shared" si="5"/>
        <v>7.9870342165767674E-2</v>
      </c>
    </row>
    <row r="134" spans="1:9" x14ac:dyDescent="0.35">
      <c r="A134" s="8">
        <v>32143</v>
      </c>
      <c r="B134" s="9">
        <v>4.4999999999999998E-2</v>
      </c>
      <c r="C134" s="9">
        <v>-6.3E-3</v>
      </c>
      <c r="D134" s="9">
        <v>-3.9000000000000003E-3</v>
      </c>
      <c r="E134" s="9">
        <v>-0.1588</v>
      </c>
      <c r="F134" s="9">
        <v>-0.12480000000000001</v>
      </c>
      <c r="G134" s="9">
        <v>-0.10210000000000001</v>
      </c>
      <c r="H134" s="9">
        <v>4.7899999999999998E-2</v>
      </c>
      <c r="I134" s="10">
        <f t="shared" si="5"/>
        <v>1.3789432248319539E-2</v>
      </c>
    </row>
    <row r="135" spans="1:9" x14ac:dyDescent="0.35">
      <c r="A135" s="8">
        <v>32174</v>
      </c>
      <c r="B135" s="9">
        <v>5.21E-2</v>
      </c>
      <c r="C135" s="9">
        <v>-3.5999999999999999E-3</v>
      </c>
      <c r="D135" s="9">
        <v>6.1699999999999998E-2</v>
      </c>
      <c r="E135" s="9">
        <v>0.2051</v>
      </c>
      <c r="F135" s="9">
        <v>0.15410000000000001</v>
      </c>
      <c r="G135" s="9">
        <v>7.3200000000000001E-2</v>
      </c>
      <c r="H135" s="9">
        <v>7.690000000000001E-2</v>
      </c>
      <c r="I135" s="10">
        <f t="shared" si="5"/>
        <v>4.4380978119201331E-2</v>
      </c>
    </row>
    <row r="136" spans="1:9" x14ac:dyDescent="0.35">
      <c r="A136" s="8">
        <v>32203</v>
      </c>
      <c r="B136" s="9">
        <v>-1.83E-2</v>
      </c>
      <c r="C136" s="9">
        <v>5.2699999999999997E-2</v>
      </c>
      <c r="D136" s="9">
        <v>5.0300000000000004E-2</v>
      </c>
      <c r="E136" s="9">
        <v>-5.6500000000000002E-2</v>
      </c>
      <c r="F136" s="9">
        <v>1.3999999999999999E-2</v>
      </c>
      <c r="G136" s="9">
        <v>3.8800000000000001E-2</v>
      </c>
      <c r="H136" s="9">
        <v>6.8199999999999997E-2</v>
      </c>
      <c r="I136" s="10">
        <f t="shared" si="5"/>
        <v>1.1264367104296569E-2</v>
      </c>
    </row>
    <row r="137" spans="1:9" x14ac:dyDescent="0.35">
      <c r="A137" s="8">
        <v>32234</v>
      </c>
      <c r="B137" s="9">
        <v>1.0200000000000001E-2</v>
      </c>
      <c r="C137" s="9">
        <v>3.39E-2</v>
      </c>
      <c r="D137" s="9">
        <v>1.3000000000000001E-2</v>
      </c>
      <c r="E137" s="9">
        <v>8.2299999999999998E-2</v>
      </c>
      <c r="F137" s="9">
        <v>-2.4700000000000003E-2</v>
      </c>
      <c r="G137" s="9">
        <v>-2.4700000000000003E-2</v>
      </c>
      <c r="H137" s="9">
        <v>9.1000000000000004E-3</v>
      </c>
      <c r="I137" s="10">
        <f t="shared" si="5"/>
        <v>2.2517669890507474E-2</v>
      </c>
    </row>
    <row r="138" spans="1:9" x14ac:dyDescent="0.35">
      <c r="A138" s="8">
        <v>32264</v>
      </c>
      <c r="B138" s="9">
        <v>2.2000000000000001E-3</v>
      </c>
      <c r="C138" s="9">
        <v>-2.4500000000000001E-2</v>
      </c>
      <c r="D138" s="9">
        <v>-3.2500000000000001E-2</v>
      </c>
      <c r="E138" s="9">
        <v>6.8699999999999997E-2</v>
      </c>
      <c r="F138" s="9">
        <v>-8.6999999999999994E-3</v>
      </c>
      <c r="G138" s="9">
        <v>-0.1103</v>
      </c>
      <c r="H138" s="9">
        <v>-4.07E-2</v>
      </c>
      <c r="I138" s="10">
        <f t="shared" si="5"/>
        <v>-6.5829736537698774E-3</v>
      </c>
    </row>
    <row r="139" spans="1:9" x14ac:dyDescent="0.35">
      <c r="A139" s="8">
        <v>32295</v>
      </c>
      <c r="B139" s="9">
        <v>5.28E-2</v>
      </c>
      <c r="C139" s="9">
        <v>-2.5699999999999997E-2</v>
      </c>
      <c r="D139" s="9">
        <v>7.690000000000001E-2</v>
      </c>
      <c r="E139" s="9">
        <v>1.3100000000000001E-2</v>
      </c>
      <c r="F139" s="9">
        <v>-3.7000000000000002E-3</v>
      </c>
      <c r="G139" s="9">
        <v>5.7200000000000001E-2</v>
      </c>
      <c r="H139" s="9">
        <v>-3.2799999999999996E-2</v>
      </c>
      <c r="I139" s="10">
        <f t="shared" si="5"/>
        <v>1.5824943694658773E-2</v>
      </c>
    </row>
    <row r="140" spans="1:9" x14ac:dyDescent="0.35">
      <c r="A140" s="8">
        <v>32325</v>
      </c>
      <c r="B140" s="9">
        <v>-7.4000000000000003E-3</v>
      </c>
      <c r="C140" s="9">
        <v>3.5999999999999999E-3</v>
      </c>
      <c r="D140" s="9">
        <v>-1.2199999999999999E-2</v>
      </c>
      <c r="E140" s="9">
        <v>-3.5200000000000002E-2</v>
      </c>
      <c r="F140" s="9">
        <v>-6.7000000000000002E-3</v>
      </c>
      <c r="G140" s="9">
        <v>2.5899999999999999E-2</v>
      </c>
      <c r="H140" s="9">
        <v>3.9399999999999998E-2</v>
      </c>
      <c r="I140" s="10">
        <f t="shared" si="5"/>
        <v>-1.5717450060873579E-3</v>
      </c>
    </row>
    <row r="141" spans="1:9" x14ac:dyDescent="0.35">
      <c r="A141" s="8">
        <v>32356</v>
      </c>
      <c r="B141" s="9">
        <v>-2.7200000000000002E-2</v>
      </c>
      <c r="C141" s="9">
        <v>-6.4199999999999993E-2</v>
      </c>
      <c r="D141" s="9">
        <v>-4.2699999999999995E-2</v>
      </c>
      <c r="E141" s="9">
        <v>-2.35E-2</v>
      </c>
      <c r="F141" s="9">
        <v>8.0000000000000004E-4</v>
      </c>
      <c r="G141" s="9">
        <v>-2.9500000000000002E-2</v>
      </c>
      <c r="H141" s="9">
        <v>-7.9100000000000004E-2</v>
      </c>
      <c r="I141" s="10">
        <f t="shared" si="5"/>
        <v>-4.3795072505861773E-2</v>
      </c>
    </row>
    <row r="142" spans="1:9" x14ac:dyDescent="0.35">
      <c r="A142" s="8">
        <v>32387</v>
      </c>
      <c r="B142" s="9">
        <v>3.9199999999999999E-2</v>
      </c>
      <c r="C142" s="9">
        <v>4.6199999999999998E-2</v>
      </c>
      <c r="D142" s="9">
        <v>2.07E-2</v>
      </c>
      <c r="E142" s="9">
        <v>9.9299999999999999E-2</v>
      </c>
      <c r="F142" s="9">
        <v>7.0499999999999993E-2</v>
      </c>
      <c r="G142" s="9">
        <v>6.6900000000000001E-2</v>
      </c>
      <c r="H142" s="9">
        <v>3.0899999999999997E-2</v>
      </c>
      <c r="I142" s="10">
        <f t="shared" si="5"/>
        <v>4.4841648169664232E-2</v>
      </c>
    </row>
    <row r="143" spans="1:9" x14ac:dyDescent="0.35">
      <c r="A143" s="8">
        <v>32417</v>
      </c>
      <c r="B143" s="9">
        <v>1.7599999999999998E-2</v>
      </c>
      <c r="C143" s="9">
        <v>6.9400000000000003E-2</v>
      </c>
      <c r="D143" s="9">
        <v>2.9300000000000003E-2</v>
      </c>
      <c r="E143" s="9">
        <v>9.4299999999999995E-2</v>
      </c>
      <c r="F143" s="9">
        <v>8.8000000000000009E-2</v>
      </c>
      <c r="G143" s="9">
        <v>0.1222</v>
      </c>
      <c r="H143" s="9">
        <v>5.8899999999999994E-2</v>
      </c>
      <c r="I143" s="10">
        <f t="shared" si="5"/>
        <v>4.408574108756657E-2</v>
      </c>
    </row>
    <row r="144" spans="1:9" x14ac:dyDescent="0.35">
      <c r="A144" s="8">
        <v>32448</v>
      </c>
      <c r="B144" s="9">
        <v>-1.7200000000000003E-2</v>
      </c>
      <c r="C144" s="9">
        <v>1.7500000000000002E-2</v>
      </c>
      <c r="D144" s="9">
        <v>-2E-3</v>
      </c>
      <c r="E144" s="9">
        <v>3.2099999999999997E-2</v>
      </c>
      <c r="F144" s="9">
        <v>2.8000000000000004E-3</v>
      </c>
      <c r="G144" s="9">
        <v>2.9100000000000001E-2</v>
      </c>
      <c r="H144" s="9">
        <v>9.6600000000000005E-2</v>
      </c>
      <c r="I144" s="10">
        <f t="shared" si="5"/>
        <v>6.912142146301775E-3</v>
      </c>
    </row>
    <row r="145" spans="1:9" x14ac:dyDescent="0.35">
      <c r="A145" s="8">
        <v>32478</v>
      </c>
      <c r="B145" s="9">
        <v>2.12E-2</v>
      </c>
      <c r="C145" s="9">
        <v>-2.0899999999999998E-2</v>
      </c>
      <c r="D145" s="9">
        <v>3.1300000000000001E-2</v>
      </c>
      <c r="E145" s="9">
        <v>4.3299999999999998E-2</v>
      </c>
      <c r="F145" s="9">
        <v>2.1600000000000001E-2</v>
      </c>
      <c r="G145" s="9">
        <v>-4.1999999999999997E-3</v>
      </c>
      <c r="H145" s="9">
        <v>3.5999999999999999E-3</v>
      </c>
      <c r="I145" s="10">
        <f t="shared" si="5"/>
        <v>6.3886130770329673E-3</v>
      </c>
    </row>
    <row r="146" spans="1:9" x14ac:dyDescent="0.35">
      <c r="A146" s="8">
        <v>32509</v>
      </c>
      <c r="B146" s="9">
        <v>6.649999999999999E-2</v>
      </c>
      <c r="C146" s="9">
        <v>0.1115</v>
      </c>
      <c r="D146" s="9">
        <v>8.2799999999999999E-2</v>
      </c>
      <c r="E146" s="9">
        <v>1.3300000000000001E-2</v>
      </c>
      <c r="F146" s="9">
        <v>-4.2099999999999999E-2</v>
      </c>
      <c r="G146" s="9">
        <v>-3.1E-2</v>
      </c>
      <c r="H146" s="9">
        <v>-5.8999999999999999E-3</v>
      </c>
      <c r="I146" s="10">
        <f t="shared" si="5"/>
        <v>7.271673566220796E-2</v>
      </c>
    </row>
    <row r="147" spans="1:9" x14ac:dyDescent="0.35">
      <c r="A147" s="8">
        <v>32540</v>
      </c>
      <c r="B147" s="9">
        <v>-1.6400000000000001E-2</v>
      </c>
      <c r="C147" s="9">
        <v>-1.7600000000000001E-2</v>
      </c>
      <c r="D147" s="9">
        <v>-2.5699999999999997E-2</v>
      </c>
      <c r="E147" s="9">
        <v>-9.4999999999999998E-3</v>
      </c>
      <c r="F147" s="9">
        <v>6.4000000000000003E-3</v>
      </c>
      <c r="G147" s="9">
        <v>-1.9199999999999998E-2</v>
      </c>
      <c r="H147" s="9">
        <v>1.8200000000000001E-2</v>
      </c>
      <c r="I147" s="10">
        <f t="shared" si="5"/>
        <v>-1.3561275478379689E-2</v>
      </c>
    </row>
    <row r="148" spans="1:9" x14ac:dyDescent="0.35">
      <c r="A148" s="8">
        <v>32568</v>
      </c>
      <c r="B148" s="9">
        <v>2.2400000000000003E-2</v>
      </c>
      <c r="C148" s="9">
        <v>6.3E-3</v>
      </c>
      <c r="D148" s="9">
        <v>1.3600000000000001E-2</v>
      </c>
      <c r="E148" s="9">
        <v>9.5999999999999992E-3</v>
      </c>
      <c r="F148" s="9">
        <v>-1.61E-2</v>
      </c>
      <c r="G148" s="9">
        <v>1.67E-2</v>
      </c>
      <c r="H148" s="9">
        <v>-3.9199999999999999E-2</v>
      </c>
      <c r="I148" s="10">
        <f t="shared" si="5"/>
        <v>1.0929531865551498E-2</v>
      </c>
    </row>
    <row r="149" spans="1:9" x14ac:dyDescent="0.35">
      <c r="A149" s="8">
        <v>32599</v>
      </c>
      <c r="B149" s="9">
        <v>0.05</v>
      </c>
      <c r="C149" s="9">
        <v>2.2099999999999998E-2</v>
      </c>
      <c r="D149" s="9">
        <v>0.02</v>
      </c>
      <c r="E149" s="9">
        <v>4.5999999999999999E-2</v>
      </c>
      <c r="F149" s="9">
        <v>4.82E-2</v>
      </c>
      <c r="G149" s="9">
        <v>1.3000000000000001E-2</v>
      </c>
      <c r="H149" s="9">
        <v>1.2999999999999999E-3</v>
      </c>
      <c r="I149" s="10">
        <f t="shared" si="5"/>
        <v>3.6175475760072837E-2</v>
      </c>
    </row>
    <row r="150" spans="1:9" x14ac:dyDescent="0.35">
      <c r="A150" s="8">
        <v>32629</v>
      </c>
      <c r="B150" s="9">
        <v>4.1400000000000006E-2</v>
      </c>
      <c r="C150" s="9">
        <v>-0.06</v>
      </c>
      <c r="D150" s="9">
        <v>8.0000000000000002E-3</v>
      </c>
      <c r="E150" s="9">
        <v>-1.8799999999999997E-2</v>
      </c>
      <c r="F150" s="9">
        <v>-2.9600000000000001E-2</v>
      </c>
      <c r="G150" s="9">
        <v>-4.8099999999999997E-2</v>
      </c>
      <c r="H150" s="9">
        <v>-5.0499999999999996E-2</v>
      </c>
      <c r="I150" s="10">
        <f t="shared" si="5"/>
        <v>-5.4339739184259776E-3</v>
      </c>
    </row>
    <row r="151" spans="1:9" x14ac:dyDescent="0.35">
      <c r="A151" s="8">
        <v>32660</v>
      </c>
      <c r="B151" s="9">
        <v>-6.4000000000000012E-3</v>
      </c>
      <c r="C151" s="9">
        <v>-4.0000000000000002E-4</v>
      </c>
      <c r="D151" s="9">
        <v>2.46E-2</v>
      </c>
      <c r="E151" s="9">
        <v>1.37E-2</v>
      </c>
      <c r="F151" s="9">
        <v>6.0299999999999999E-2</v>
      </c>
      <c r="G151" s="9">
        <v>8.1199999999999994E-2</v>
      </c>
      <c r="H151" s="9">
        <v>-4.4199999999999996E-2</v>
      </c>
      <c r="I151" s="10">
        <f t="shared" si="5"/>
        <v>-5.5528631040377965E-3</v>
      </c>
    </row>
    <row r="152" spans="1:9" x14ac:dyDescent="0.35">
      <c r="A152" s="8">
        <v>32690</v>
      </c>
      <c r="B152" s="9">
        <v>7.9000000000000001E-2</v>
      </c>
      <c r="C152" s="9">
        <v>0.14369999999999999</v>
      </c>
      <c r="D152" s="9">
        <v>7.2700000000000001E-2</v>
      </c>
      <c r="E152" s="9">
        <v>0.1043</v>
      </c>
      <c r="F152" s="9">
        <v>9.8000000000000004E-2</v>
      </c>
      <c r="G152" s="9">
        <v>0.1116</v>
      </c>
      <c r="H152" s="9">
        <v>0.13100000000000001</v>
      </c>
      <c r="I152" s="10">
        <f t="shared" si="5"/>
        <v>0.10739594498025914</v>
      </c>
    </row>
    <row r="153" spans="1:9" x14ac:dyDescent="0.35">
      <c r="A153" s="8">
        <v>32721</v>
      </c>
      <c r="B153" s="9">
        <v>2.1799999999999996E-2</v>
      </c>
      <c r="C153" s="9">
        <v>-2.4E-2</v>
      </c>
      <c r="D153" s="9">
        <v>1.4499999999999999E-2</v>
      </c>
      <c r="E153" s="9">
        <v>-1.1299999999999999E-2</v>
      </c>
      <c r="F153" s="9">
        <v>-1.38E-2</v>
      </c>
      <c r="G153" s="9">
        <v>2.5000000000000001E-2</v>
      </c>
      <c r="H153" s="9">
        <v>-7.2300000000000003E-2</v>
      </c>
      <c r="I153" s="10">
        <f t="shared" si="5"/>
        <v>-3.8153210789009266E-3</v>
      </c>
    </row>
    <row r="154" spans="1:9" x14ac:dyDescent="0.35">
      <c r="A154" s="8">
        <v>32752</v>
      </c>
      <c r="B154" s="9">
        <v>-1.0999999999999998E-3</v>
      </c>
      <c r="C154" s="9">
        <v>3.7000000000000002E-3</v>
      </c>
      <c r="D154" s="9">
        <v>-1.4199999999999999E-2</v>
      </c>
      <c r="E154" s="9">
        <v>7.3399999999999993E-2</v>
      </c>
      <c r="F154" s="9">
        <v>5.5899999999999998E-2</v>
      </c>
      <c r="G154" s="9">
        <v>-3.0999999999999999E-3</v>
      </c>
      <c r="H154" s="9">
        <v>7.2599999999999998E-2</v>
      </c>
      <c r="I154" s="10">
        <f t="shared" si="5"/>
        <v>1.1179152125063214E-2</v>
      </c>
    </row>
    <row r="155" spans="1:9" x14ac:dyDescent="0.35">
      <c r="A155" s="8">
        <v>32782</v>
      </c>
      <c r="B155" s="9">
        <v>-2.9899999999999996E-2</v>
      </c>
      <c r="C155" s="9">
        <v>-8.9600000000000013E-2</v>
      </c>
      <c r="D155" s="9">
        <v>-5.0000000000000001E-4</v>
      </c>
      <c r="E155" s="9">
        <v>-5.0099999999999999E-2</v>
      </c>
      <c r="F155" s="9">
        <v>-5.1500000000000004E-2</v>
      </c>
      <c r="G155" s="9">
        <v>-7.5600000000000001E-2</v>
      </c>
      <c r="H155" s="9">
        <v>-3.4799999999999998E-2</v>
      </c>
      <c r="I155" s="10">
        <f t="shared" si="5"/>
        <v>-5.2597419804337374E-2</v>
      </c>
    </row>
    <row r="156" spans="1:9" x14ac:dyDescent="0.35">
      <c r="A156" s="8">
        <v>32813</v>
      </c>
      <c r="B156" s="9">
        <v>1.72E-2</v>
      </c>
      <c r="C156" s="9">
        <v>5.7599999999999998E-2</v>
      </c>
      <c r="D156" s="9">
        <v>1.01E-2</v>
      </c>
      <c r="E156" s="9">
        <v>6.54E-2</v>
      </c>
      <c r="F156" s="9">
        <v>9.9700000000000011E-2</v>
      </c>
      <c r="G156" s="9">
        <v>5.4100000000000002E-2</v>
      </c>
      <c r="H156" s="9">
        <v>5.1500000000000004E-2</v>
      </c>
      <c r="I156" s="10">
        <f t="shared" si="5"/>
        <v>3.7514739608699339E-2</v>
      </c>
    </row>
    <row r="157" spans="1:9" x14ac:dyDescent="0.35">
      <c r="A157" s="8">
        <v>32843</v>
      </c>
      <c r="B157" s="9">
        <v>1.77E-2</v>
      </c>
      <c r="C157" s="9">
        <v>9.3399999999999997E-2</v>
      </c>
      <c r="D157" s="9">
        <v>1.8700000000000001E-2</v>
      </c>
      <c r="E157" s="9">
        <v>0.10949999999999999</v>
      </c>
      <c r="F157" s="9">
        <v>0.18379999999999999</v>
      </c>
      <c r="G157" s="9">
        <v>6.8199999999999997E-2</v>
      </c>
      <c r="H157" s="9">
        <v>8.0000000000000002E-3</v>
      </c>
      <c r="I157" s="10">
        <f t="shared" si="5"/>
        <v>5.0193770270814578E-2</v>
      </c>
    </row>
    <row r="158" spans="1:9" x14ac:dyDescent="0.35">
      <c r="A158" s="8">
        <v>32874</v>
      </c>
      <c r="B158" s="9">
        <v>-7.279999999999999E-2</v>
      </c>
      <c r="C158" s="9">
        <v>1.11E-2</v>
      </c>
      <c r="D158" s="9">
        <v>-8.9200000000000002E-2</v>
      </c>
      <c r="E158" s="9">
        <v>-5.7099999999999998E-2</v>
      </c>
      <c r="F158" s="9">
        <v>3.1400000000000004E-2</v>
      </c>
      <c r="G158" s="9">
        <v>-1.5E-3</v>
      </c>
      <c r="H158" s="9">
        <v>-5.8700000000000002E-2</v>
      </c>
      <c r="I158" s="10">
        <f t="shared" si="5"/>
        <v>-4.0585898331214183E-2</v>
      </c>
    </row>
    <row r="159" spans="1:9" x14ac:dyDescent="0.35">
      <c r="A159" s="8">
        <v>32905</v>
      </c>
      <c r="B159" s="9">
        <v>1.6800000000000002E-2</v>
      </c>
      <c r="C159" s="9">
        <v>-3.0499999999999999E-2</v>
      </c>
      <c r="D159" s="9">
        <v>0</v>
      </c>
      <c r="E159" s="9">
        <v>-2.7099999999999999E-2</v>
      </c>
      <c r="F159" s="9">
        <v>-1.5100000000000001E-2</v>
      </c>
      <c r="G159" s="9">
        <v>-4.4900000000000002E-2</v>
      </c>
      <c r="H159" s="9">
        <v>-0.1002</v>
      </c>
      <c r="I159" s="10">
        <f t="shared" si="5"/>
        <v>-1.1741809810855722E-2</v>
      </c>
    </row>
    <row r="160" spans="1:9" x14ac:dyDescent="0.35">
      <c r="A160" s="8">
        <v>32933</v>
      </c>
      <c r="B160" s="9">
        <v>2.4700000000000003E-2</v>
      </c>
      <c r="C160" s="9">
        <v>-1.78E-2</v>
      </c>
      <c r="D160" s="9">
        <v>0.01</v>
      </c>
      <c r="E160" s="9">
        <v>7.0599999999999996E-2</v>
      </c>
      <c r="F160" s="9">
        <v>0.1038</v>
      </c>
      <c r="G160" s="9">
        <v>5.4299999999999994E-2</v>
      </c>
      <c r="H160" s="9">
        <v>-0.18579999999999999</v>
      </c>
      <c r="I160" s="10">
        <f t="shared" si="5"/>
        <v>-3.2420762650665642E-3</v>
      </c>
    </row>
    <row r="161" spans="1:9" x14ac:dyDescent="0.35">
      <c r="A161" s="8">
        <v>32964</v>
      </c>
      <c r="B161" s="9">
        <v>-2.6699999999999998E-2</v>
      </c>
      <c r="C161" s="9">
        <v>-6.2699999999999992E-2</v>
      </c>
      <c r="D161" s="9">
        <v>-7.3399999999999993E-2</v>
      </c>
      <c r="E161" s="9">
        <v>5.5099999999999996E-2</v>
      </c>
      <c r="F161" s="9">
        <v>-6.5099999999999991E-2</v>
      </c>
      <c r="G161" s="9">
        <v>2.4300000000000002E-2</v>
      </c>
      <c r="H161" s="9">
        <v>-1.7000000000000001E-3</v>
      </c>
      <c r="I161" s="10">
        <f t="shared" si="5"/>
        <v>-3.2750934592091635E-2</v>
      </c>
    </row>
    <row r="162" spans="1:9" x14ac:dyDescent="0.35">
      <c r="A162" s="8">
        <v>32994</v>
      </c>
      <c r="B162" s="9">
        <v>9.0999999999999998E-2</v>
      </c>
      <c r="C162" s="9">
        <v>0.14279999999999998</v>
      </c>
      <c r="D162" s="9">
        <v>6.9000000000000006E-2</v>
      </c>
      <c r="E162" s="9">
        <v>1.26E-2</v>
      </c>
      <c r="F162" s="9">
        <v>7.4999999999999997E-3</v>
      </c>
      <c r="G162" s="9">
        <v>7.1800000000000003E-2</v>
      </c>
      <c r="H162" s="9">
        <v>0.1482</v>
      </c>
      <c r="I162" s="10">
        <f t="shared" si="5"/>
        <v>0.10832485830205603</v>
      </c>
    </row>
    <row r="163" spans="1:9" x14ac:dyDescent="0.35">
      <c r="A163" s="8">
        <v>33025</v>
      </c>
      <c r="B163" s="9">
        <v>-4.6000000000000008E-3</v>
      </c>
      <c r="C163" s="9">
        <v>5.7599999999999998E-2</v>
      </c>
      <c r="D163" s="9">
        <v>-3.0000000000000001E-3</v>
      </c>
      <c r="E163" s="9">
        <v>-6.3E-3</v>
      </c>
      <c r="F163" s="9">
        <v>4.58E-2</v>
      </c>
      <c r="G163" s="9">
        <v>3.15E-2</v>
      </c>
      <c r="H163" s="9">
        <v>-4.4999999999999998E-2</v>
      </c>
      <c r="I163" s="10">
        <f t="shared" si="5"/>
        <v>1.4345688056007444E-2</v>
      </c>
    </row>
    <row r="164" spans="1:9" x14ac:dyDescent="0.35">
      <c r="A164" s="8">
        <v>33055</v>
      </c>
      <c r="B164" s="9">
        <v>-1.2199999999999997E-2</v>
      </c>
      <c r="C164" s="9">
        <v>4.9299999999999997E-2</v>
      </c>
      <c r="D164" s="9">
        <v>2.0400000000000001E-2</v>
      </c>
      <c r="E164" s="9">
        <v>1.6799999999999999E-2</v>
      </c>
      <c r="F164" s="9">
        <v>8.2400000000000001E-2</v>
      </c>
      <c r="G164" s="9">
        <v>1.9199999999999998E-2</v>
      </c>
      <c r="H164" s="9">
        <v>-5.3E-3</v>
      </c>
      <c r="I164" s="10">
        <f t="shared" si="5"/>
        <v>1.232515576041065E-2</v>
      </c>
    </row>
    <row r="165" spans="1:9" x14ac:dyDescent="0.35">
      <c r="A165" s="8">
        <v>33086</v>
      </c>
      <c r="B165" s="9">
        <v>-9.4800000000000009E-2</v>
      </c>
      <c r="C165" s="9">
        <v>-6.2800000000000009E-2</v>
      </c>
      <c r="D165" s="9">
        <v>-5.3399999999999996E-2</v>
      </c>
      <c r="E165" s="9">
        <v>-0.13220000000000001</v>
      </c>
      <c r="F165" s="9">
        <v>-0.1431</v>
      </c>
      <c r="G165" s="9">
        <v>-0.1512</v>
      </c>
      <c r="H165" s="9">
        <v>-0.10439999999999999</v>
      </c>
      <c r="I165" s="10">
        <f t="shared" si="5"/>
        <v>-8.6899465440180651E-2</v>
      </c>
    </row>
    <row r="166" spans="1:9" x14ac:dyDescent="0.35">
      <c r="A166" s="8">
        <v>33117</v>
      </c>
      <c r="B166" s="9">
        <v>-5.5200000000000006E-2</v>
      </c>
      <c r="C166" s="9">
        <v>-8.539999999999999E-2</v>
      </c>
      <c r="D166" s="9">
        <v>-4.7300000000000002E-2</v>
      </c>
      <c r="E166" s="9">
        <v>-0.1061</v>
      </c>
      <c r="F166" s="9">
        <v>-0.1668</v>
      </c>
      <c r="G166" s="9">
        <v>-0.1085</v>
      </c>
      <c r="H166" s="9">
        <v>-0.1653</v>
      </c>
      <c r="I166" s="10">
        <f t="shared" si="5"/>
        <v>-7.818452414778819E-2</v>
      </c>
    </row>
    <row r="167" spans="1:9" x14ac:dyDescent="0.35">
      <c r="A167" s="8">
        <v>33147</v>
      </c>
      <c r="B167" s="9">
        <v>-1.2399999999999998E-2</v>
      </c>
      <c r="C167" s="9">
        <v>7.5800000000000006E-2</v>
      </c>
      <c r="D167" s="9">
        <v>-3.1699999999999999E-2</v>
      </c>
      <c r="E167" s="9">
        <v>0.10589999999999999</v>
      </c>
      <c r="F167" s="9">
        <v>0.12920000000000001</v>
      </c>
      <c r="G167" s="9">
        <v>3.9100000000000003E-2</v>
      </c>
      <c r="H167" s="9">
        <v>0.25920000000000004</v>
      </c>
      <c r="I167" s="10">
        <f t="shared" si="5"/>
        <v>4.7733515558771519E-2</v>
      </c>
    </row>
    <row r="168" spans="1:9" x14ac:dyDescent="0.35">
      <c r="A168" s="8">
        <v>33178</v>
      </c>
      <c r="B168" s="9">
        <v>6.9199999999999998E-2</v>
      </c>
      <c r="C168" s="9">
        <v>4.8799999999999996E-2</v>
      </c>
      <c r="D168" s="9">
        <v>2.7300000000000001E-2</v>
      </c>
      <c r="E168" s="9">
        <v>-6.3E-3</v>
      </c>
      <c r="F168" s="9">
        <v>1.7899999999999999E-2</v>
      </c>
      <c r="G168" s="9">
        <v>-8.4499999999999992E-2</v>
      </c>
      <c r="H168" s="9">
        <v>-0.122</v>
      </c>
      <c r="I168" s="10">
        <f t="shared" si="5"/>
        <v>4.2306027666167992E-2</v>
      </c>
    </row>
    <row r="169" spans="1:9" x14ac:dyDescent="0.35">
      <c r="A169" s="8">
        <v>33208</v>
      </c>
      <c r="B169" s="9">
        <v>3.0600000000000002E-2</v>
      </c>
      <c r="C169" s="9">
        <v>-2.5999999999999999E-3</v>
      </c>
      <c r="D169" s="9">
        <v>4.0099999999999997E-2</v>
      </c>
      <c r="E169" s="9">
        <v>-4.3899999999999995E-2</v>
      </c>
      <c r="F169" s="9">
        <v>-2.7999999999999997E-2</v>
      </c>
      <c r="G169" s="9">
        <v>3.0600000000000002E-2</v>
      </c>
      <c r="H169" s="9">
        <v>3.73E-2</v>
      </c>
      <c r="I169" s="10">
        <f t="shared" si="5"/>
        <v>1.4582586181091872E-2</v>
      </c>
    </row>
    <row r="170" spans="1:9" x14ac:dyDescent="0.35">
      <c r="A170" s="8">
        <v>33239</v>
      </c>
      <c r="B170" s="9">
        <v>5.2100000000000007E-2</v>
      </c>
      <c r="C170" s="9">
        <v>3.3599999999999998E-2</v>
      </c>
      <c r="D170" s="9">
        <v>2.0999999999999999E-3</v>
      </c>
      <c r="E170" s="9">
        <v>4.7500000000000001E-2</v>
      </c>
      <c r="F170" s="9">
        <v>1.9299999999999998E-2</v>
      </c>
      <c r="G170" s="9">
        <v>-2.3300000000000001E-2</v>
      </c>
      <c r="H170" s="9">
        <v>2.98E-2</v>
      </c>
      <c r="I170" s="10">
        <f t="shared" si="5"/>
        <v>4.3369973133029191E-2</v>
      </c>
    </row>
    <row r="171" spans="1:9" x14ac:dyDescent="0.35">
      <c r="A171" s="8">
        <v>33270</v>
      </c>
      <c r="B171" s="9">
        <v>7.6700000000000004E-2</v>
      </c>
      <c r="C171" s="9">
        <v>8.1500000000000003E-2</v>
      </c>
      <c r="D171" s="9">
        <v>6.9199999999999998E-2</v>
      </c>
      <c r="E171" s="9">
        <v>8.4100000000000008E-2</v>
      </c>
      <c r="F171" s="9">
        <v>5.7800000000000004E-2</v>
      </c>
      <c r="G171" s="9">
        <v>0.13269999999999998</v>
      </c>
      <c r="H171" s="9">
        <v>0.1168</v>
      </c>
      <c r="I171" s="10">
        <f t="shared" si="5"/>
        <v>8.1808778084718578E-2</v>
      </c>
    </row>
    <row r="172" spans="1:9" x14ac:dyDescent="0.35">
      <c r="A172" s="8">
        <v>33298</v>
      </c>
      <c r="B172" s="9">
        <v>3.0899999999999997E-2</v>
      </c>
      <c r="C172" s="9">
        <v>-4.9699999999999994E-2</v>
      </c>
      <c r="D172" s="9">
        <v>1.7000000000000001E-3</v>
      </c>
      <c r="E172" s="9">
        <v>-6.4000000000000001E-2</v>
      </c>
      <c r="F172" s="9">
        <v>-0.1207</v>
      </c>
      <c r="G172" s="9">
        <v>-7.8E-2</v>
      </c>
      <c r="H172" s="9">
        <v>-5.2300000000000006E-2</v>
      </c>
      <c r="I172" s="10">
        <f t="shared" si="5"/>
        <v>-1.060834792554775E-2</v>
      </c>
    </row>
    <row r="173" spans="1:9" x14ac:dyDescent="0.35">
      <c r="A173" s="8">
        <v>33329</v>
      </c>
      <c r="B173" s="9">
        <v>2.5000000000000001E-3</v>
      </c>
      <c r="C173" s="9">
        <v>4.5999999999999999E-3</v>
      </c>
      <c r="D173" s="9">
        <v>6.7000000000000002E-3</v>
      </c>
      <c r="E173" s="9">
        <v>-1.7500000000000002E-2</v>
      </c>
      <c r="F173" s="9">
        <v>4.4999999999999998E-2</v>
      </c>
      <c r="G173" s="9">
        <v>-1.3500000000000002E-2</v>
      </c>
      <c r="H173" s="9">
        <v>2.58E-2</v>
      </c>
      <c r="I173" s="10">
        <f t="shared" si="5"/>
        <v>4.142526572491291E-3</v>
      </c>
    </row>
    <row r="174" spans="1:9" x14ac:dyDescent="0.35">
      <c r="A174" s="8">
        <v>33359</v>
      </c>
      <c r="B174" s="9">
        <v>4.1100000000000005E-2</v>
      </c>
      <c r="C174" s="9">
        <v>-1.32E-2</v>
      </c>
      <c r="D174" s="9">
        <v>3.6799999999999999E-2</v>
      </c>
      <c r="E174" s="9">
        <v>5.1000000000000004E-3</v>
      </c>
      <c r="F174" s="9">
        <v>2.9600000000000001E-2</v>
      </c>
      <c r="G174" s="9">
        <v>4.2099999999999999E-2</v>
      </c>
      <c r="H174" s="9">
        <v>-1.34E-2</v>
      </c>
      <c r="I174" s="10">
        <f t="shared" si="5"/>
        <v>1.557001929705033E-2</v>
      </c>
    </row>
    <row r="175" spans="1:9" x14ac:dyDescent="0.35">
      <c r="A175" s="8">
        <v>33390</v>
      </c>
      <c r="B175" s="9">
        <v>-4.5200000000000004E-2</v>
      </c>
      <c r="C175" s="9">
        <v>-7.1900000000000006E-2</v>
      </c>
      <c r="D175" s="9">
        <v>-0.02</v>
      </c>
      <c r="E175" s="9">
        <v>-8.1900000000000001E-2</v>
      </c>
      <c r="F175" s="9">
        <v>-8.3199999999999996E-2</v>
      </c>
      <c r="G175" s="9">
        <v>-7.9199999999999993E-2</v>
      </c>
      <c r="H175" s="9">
        <v>-7.3200000000000001E-2</v>
      </c>
      <c r="I175" s="10">
        <f t="shared" si="5"/>
        <v>-5.9214662951154268E-2</v>
      </c>
    </row>
    <row r="176" spans="1:9" x14ac:dyDescent="0.35">
      <c r="A176" s="8">
        <v>33420</v>
      </c>
      <c r="B176" s="9">
        <v>4.7300000000000002E-2</v>
      </c>
      <c r="C176" s="9">
        <v>0.1182</v>
      </c>
      <c r="D176" s="9">
        <v>1.44E-2</v>
      </c>
      <c r="E176" s="9">
        <v>3.6299999999999999E-2</v>
      </c>
      <c r="F176" s="9">
        <v>3.4799999999999998E-2</v>
      </c>
      <c r="G176" s="9">
        <v>1.55E-2</v>
      </c>
      <c r="H176" s="9">
        <v>3.0600000000000002E-2</v>
      </c>
      <c r="I176" s="10">
        <f t="shared" si="5"/>
        <v>7.0138594409971916E-2</v>
      </c>
    </row>
    <row r="177" spans="1:9" x14ac:dyDescent="0.35">
      <c r="A177" s="8">
        <v>33451</v>
      </c>
      <c r="B177" s="9">
        <v>2.7799999999999998E-2</v>
      </c>
      <c r="C177" s="9">
        <v>2.46E-2</v>
      </c>
      <c r="D177" s="9">
        <v>5.8999999999999999E-3</v>
      </c>
      <c r="E177" s="9">
        <v>0.06</v>
      </c>
      <c r="F177" s="9">
        <v>1.21E-2</v>
      </c>
      <c r="G177" s="9">
        <v>-3.5000000000000003E-2</v>
      </c>
      <c r="H177" s="9">
        <v>-5.5399999999999998E-2</v>
      </c>
      <c r="I177" s="10">
        <f t="shared" si="5"/>
        <v>2.2043045144124983E-2</v>
      </c>
    </row>
    <row r="178" spans="1:9" x14ac:dyDescent="0.35">
      <c r="A178" s="8">
        <v>33482</v>
      </c>
      <c r="B178" s="9">
        <v>-1.1300000000000001E-2</v>
      </c>
      <c r="C178" s="9">
        <v>4.07E-2</v>
      </c>
      <c r="D178" s="9">
        <v>-2.52E-2</v>
      </c>
      <c r="E178" s="9">
        <v>0.06</v>
      </c>
      <c r="F178" s="9">
        <v>2.1600000000000001E-2</v>
      </c>
      <c r="G178" s="9">
        <v>1.32E-2</v>
      </c>
      <c r="H178" s="9">
        <v>8.3100000000000007E-2</v>
      </c>
      <c r="I178" s="10">
        <f t="shared" si="5"/>
        <v>1.8789830790618991E-2</v>
      </c>
    </row>
    <row r="179" spans="1:9" x14ac:dyDescent="0.35">
      <c r="A179" s="8">
        <v>33512</v>
      </c>
      <c r="B179" s="9">
        <v>1.7000000000000001E-2</v>
      </c>
      <c r="C179" s="9">
        <v>-2.2499999999999999E-2</v>
      </c>
      <c r="D179" s="9">
        <v>4.6199999999999998E-2</v>
      </c>
      <c r="E179" s="9">
        <v>-8.8000000000000005E-3</v>
      </c>
      <c r="F179" s="9">
        <v>-1.9599999999999999E-2</v>
      </c>
      <c r="G179" s="9">
        <v>-4.9100000000000005E-2</v>
      </c>
      <c r="H179" s="9">
        <v>4.7400000000000005E-2</v>
      </c>
      <c r="I179" s="10">
        <f t="shared" si="5"/>
        <v>3.6902160763522336E-3</v>
      </c>
    </row>
    <row r="180" spans="1:9" x14ac:dyDescent="0.35">
      <c r="A180" s="8">
        <v>33543</v>
      </c>
      <c r="B180" s="9">
        <v>-3.8000000000000006E-2</v>
      </c>
      <c r="C180" s="9">
        <v>-3.8399999999999997E-2</v>
      </c>
      <c r="D180" s="9">
        <v>-2.8399999999999998E-2</v>
      </c>
      <c r="E180" s="9">
        <v>-1.66E-2</v>
      </c>
      <c r="F180" s="9">
        <v>1.84E-2</v>
      </c>
      <c r="G180" s="9">
        <v>4.1700000000000001E-2</v>
      </c>
      <c r="H180" s="9">
        <v>-7.0599999999999996E-2</v>
      </c>
      <c r="I180" s="10">
        <f t="shared" si="5"/>
        <v>-3.8989617058283965E-2</v>
      </c>
    </row>
    <row r="181" spans="1:9" x14ac:dyDescent="0.35">
      <c r="A181" s="8">
        <v>33573</v>
      </c>
      <c r="B181" s="9">
        <v>0.11210000000000001</v>
      </c>
      <c r="C181" s="9">
        <v>8.6199999999999999E-2</v>
      </c>
      <c r="D181" s="9">
        <v>8.9999999999999998E-4</v>
      </c>
      <c r="E181" s="9">
        <v>8.4700000000000011E-2</v>
      </c>
      <c r="F181" s="9">
        <v>7.0499999999999993E-2</v>
      </c>
      <c r="G181" s="9">
        <v>4.82E-2</v>
      </c>
      <c r="H181" s="9">
        <v>3.0899999999999997E-2</v>
      </c>
      <c r="I181" s="10">
        <f t="shared" si="5"/>
        <v>9.4770259968116846E-2</v>
      </c>
    </row>
    <row r="182" spans="1:9" x14ac:dyDescent="0.35">
      <c r="A182" s="8">
        <v>33604</v>
      </c>
      <c r="B182" s="9">
        <v>-2.4999999999999996E-3</v>
      </c>
      <c r="C182" s="9">
        <v>-8.6999999999999994E-3</v>
      </c>
      <c r="D182" s="9">
        <v>1.0500000000000001E-2</v>
      </c>
      <c r="E182" s="9">
        <v>5.7999999999999996E-3</v>
      </c>
      <c r="F182" s="9">
        <v>5.5000000000000005E-3</v>
      </c>
      <c r="G182" s="9">
        <v>2.2799999999999997E-2</v>
      </c>
      <c r="H182" s="9">
        <v>-5.7099999999999998E-2</v>
      </c>
      <c r="I182" s="10">
        <f t="shared" si="5"/>
        <v>-8.3591206262661547E-3</v>
      </c>
    </row>
    <row r="183" spans="1:9" x14ac:dyDescent="0.35">
      <c r="A183" s="8">
        <v>33635</v>
      </c>
      <c r="B183" s="9">
        <v>1.37E-2</v>
      </c>
      <c r="C183" s="9">
        <v>-1.4800000000000001E-2</v>
      </c>
      <c r="D183" s="9">
        <v>-9.0000000000000011E-3</v>
      </c>
      <c r="E183" s="9">
        <v>4.2599999999999999E-2</v>
      </c>
      <c r="F183" s="9">
        <v>2.5499999999999998E-2</v>
      </c>
      <c r="G183" s="9">
        <v>-1.7500000000000002E-2</v>
      </c>
      <c r="H183" s="9">
        <v>-7.5999999999999998E-2</v>
      </c>
      <c r="I183" s="10">
        <f t="shared" si="5"/>
        <v>-1.4459756466364028E-3</v>
      </c>
    </row>
    <row r="184" spans="1:9" x14ac:dyDescent="0.35">
      <c r="A184" s="8">
        <v>33664</v>
      </c>
      <c r="B184" s="9">
        <v>-2.3099999999999999E-2</v>
      </c>
      <c r="C184" s="9">
        <v>-5.33E-2</v>
      </c>
      <c r="D184" s="9">
        <v>-5.1299999999999998E-2</v>
      </c>
      <c r="E184" s="9">
        <v>-2.8999999999999998E-3</v>
      </c>
      <c r="F184" s="9">
        <v>-1.5800000000000002E-2</v>
      </c>
      <c r="G184" s="9">
        <v>-6.54E-2</v>
      </c>
      <c r="H184" s="9">
        <v>-0.1103</v>
      </c>
      <c r="I184" s="10">
        <f t="shared" si="5"/>
        <v>-3.9202653814761478E-2</v>
      </c>
    </row>
    <row r="185" spans="1:9" x14ac:dyDescent="0.35">
      <c r="A185" s="8">
        <v>33695</v>
      </c>
      <c r="B185" s="9">
        <v>1.4000000000000002E-2</v>
      </c>
      <c r="C185" s="9">
        <v>0.1249</v>
      </c>
      <c r="D185" s="9">
        <v>-1.1299999999999999E-2</v>
      </c>
      <c r="E185" s="9">
        <v>4.5199999999999997E-2</v>
      </c>
      <c r="F185" s="9">
        <v>-1.8E-3</v>
      </c>
      <c r="G185" s="9">
        <v>3.7000000000000002E-3</v>
      </c>
      <c r="H185" s="9">
        <v>-6.88E-2</v>
      </c>
      <c r="I185" s="10">
        <f t="shared" si="5"/>
        <v>4.8257959136379883E-2</v>
      </c>
    </row>
    <row r="186" spans="1:9" x14ac:dyDescent="0.35">
      <c r="A186" s="8">
        <v>33725</v>
      </c>
      <c r="B186" s="9">
        <v>5.8000000000000005E-3</v>
      </c>
      <c r="C186" s="9">
        <v>5.5E-2</v>
      </c>
      <c r="D186" s="9">
        <v>1.8E-3</v>
      </c>
      <c r="E186" s="9">
        <v>3.9199999999999999E-2</v>
      </c>
      <c r="F186" s="9">
        <v>5.7200000000000001E-2</v>
      </c>
      <c r="G186" s="9">
        <v>1.9699999999999999E-2</v>
      </c>
      <c r="H186" s="9">
        <v>8.2500000000000004E-2</v>
      </c>
      <c r="I186" s="10">
        <f t="shared" si="5"/>
        <v>3.1386976744549461E-2</v>
      </c>
    </row>
    <row r="187" spans="1:9" x14ac:dyDescent="0.35">
      <c r="A187" s="8">
        <v>33756</v>
      </c>
      <c r="B187" s="9">
        <v>-2.0199999999999999E-2</v>
      </c>
      <c r="C187" s="9">
        <v>-2.9700000000000001E-2</v>
      </c>
      <c r="D187" s="9">
        <v>5.0000000000000001E-4</v>
      </c>
      <c r="E187" s="9">
        <v>-1.46E-2</v>
      </c>
      <c r="F187" s="9">
        <v>1.8500000000000003E-2</v>
      </c>
      <c r="G187" s="9">
        <v>-3.95E-2</v>
      </c>
      <c r="H187" s="9">
        <v>-0.09</v>
      </c>
      <c r="I187" s="10">
        <f t="shared" si="5"/>
        <v>-2.8343764694250984E-2</v>
      </c>
    </row>
    <row r="188" spans="1:9" x14ac:dyDescent="0.35">
      <c r="A188" s="8">
        <v>33786</v>
      </c>
      <c r="B188" s="9">
        <v>4.0800000000000003E-2</v>
      </c>
      <c r="C188" s="9">
        <v>-4.4400000000000002E-2</v>
      </c>
      <c r="D188" s="9">
        <v>2.9300000000000003E-2</v>
      </c>
      <c r="E188" s="9">
        <v>-4.24E-2</v>
      </c>
      <c r="F188" s="9">
        <v>-4.7100000000000003E-2</v>
      </c>
      <c r="G188" s="9">
        <v>-8.6400000000000005E-2</v>
      </c>
      <c r="H188" s="9">
        <v>-1.0800000000000001E-2</v>
      </c>
      <c r="I188" s="10">
        <f t="shared" si="5"/>
        <v>1.279552282209934E-3</v>
      </c>
    </row>
    <row r="189" spans="1:9" x14ac:dyDescent="0.35">
      <c r="A189" s="8">
        <v>33817</v>
      </c>
      <c r="B189" s="9">
        <v>-2.12E-2</v>
      </c>
      <c r="C189" s="9">
        <v>-6.1999999999999998E-3</v>
      </c>
      <c r="D189" s="9">
        <v>-1.9799999999999998E-2</v>
      </c>
      <c r="E189" s="9">
        <v>8.3000000000000001E-3</v>
      </c>
      <c r="F189" s="9">
        <v>8.0000000000000004E-4</v>
      </c>
      <c r="G189" s="9">
        <v>1.0700000000000001E-2</v>
      </c>
      <c r="H189" s="9">
        <v>0.17929999999999999</v>
      </c>
      <c r="I189" s="10">
        <f t="shared" si="5"/>
        <v>1.5523288123236254E-3</v>
      </c>
    </row>
    <row r="190" spans="1:9" x14ac:dyDescent="0.35">
      <c r="A190" s="8">
        <v>33848</v>
      </c>
      <c r="B190" s="9">
        <v>1.4499999999999999E-2</v>
      </c>
      <c r="C190" s="9">
        <v>-1.3899999999999999E-2</v>
      </c>
      <c r="D190" s="9">
        <v>-6.5500000000000003E-2</v>
      </c>
      <c r="E190" s="9">
        <v>1.7399999999999999E-2</v>
      </c>
      <c r="F190" s="9">
        <v>-4.2300000000000004E-2</v>
      </c>
      <c r="G190" s="9">
        <v>-0.17510000000000001</v>
      </c>
      <c r="H190" s="9">
        <v>-3.1699999999999999E-2</v>
      </c>
      <c r="I190" s="10">
        <f t="shared" si="5"/>
        <v>7.2247928130432385E-4</v>
      </c>
    </row>
    <row r="191" spans="1:9" x14ac:dyDescent="0.35">
      <c r="A191" s="8">
        <v>33878</v>
      </c>
      <c r="B191" s="9">
        <v>1.2500000000000001E-2</v>
      </c>
      <c r="C191" s="9">
        <v>-8.3599999999999994E-2</v>
      </c>
      <c r="D191" s="9">
        <v>2.0199999999999999E-2</v>
      </c>
      <c r="E191" s="9">
        <v>-8.7300000000000003E-2</v>
      </c>
      <c r="F191" s="9">
        <v>-6.7099999999999993E-2</v>
      </c>
      <c r="G191" s="9">
        <v>0.1384</v>
      </c>
      <c r="H191" s="9">
        <v>-4.9699999999999994E-2</v>
      </c>
      <c r="I191" s="10">
        <f t="shared" si="5"/>
        <v>-3.2607358984765793E-2</v>
      </c>
    </row>
    <row r="192" spans="1:9" x14ac:dyDescent="0.35">
      <c r="A192" s="8">
        <v>33909</v>
      </c>
      <c r="B192" s="9">
        <v>4.36E-2</v>
      </c>
      <c r="C192" s="9">
        <v>2.3399999999999997E-2</v>
      </c>
      <c r="D192" s="9">
        <v>-5.0700000000000002E-2</v>
      </c>
      <c r="E192" s="9">
        <v>-1.2199999999999999E-2</v>
      </c>
      <c r="F192" s="9">
        <v>-5.3E-3</v>
      </c>
      <c r="G192" s="9">
        <v>-5.9500000000000004E-2</v>
      </c>
      <c r="H192" s="9">
        <v>2.86E-2</v>
      </c>
      <c r="I192" s="10">
        <f t="shared" si="5"/>
        <v>3.1651981823915085E-2</v>
      </c>
    </row>
    <row r="193" spans="1:9" x14ac:dyDescent="0.35">
      <c r="A193" s="8">
        <v>33939</v>
      </c>
      <c r="B193" s="9">
        <v>1.8100000000000002E-2</v>
      </c>
      <c r="C193" s="9">
        <v>3.6600000000000001E-2</v>
      </c>
      <c r="D193" s="9">
        <v>2.7900000000000001E-2</v>
      </c>
      <c r="E193" s="9">
        <v>2.3700000000000002E-2</v>
      </c>
      <c r="F193" s="9">
        <v>-1.9900000000000001E-2</v>
      </c>
      <c r="G193" s="9">
        <v>-2.1600000000000001E-2</v>
      </c>
      <c r="H193" s="9">
        <v>-1.21E-2</v>
      </c>
      <c r="I193" s="10">
        <f t="shared" si="5"/>
        <v>2.2318464948916605E-2</v>
      </c>
    </row>
    <row r="194" spans="1:9" x14ac:dyDescent="0.35">
      <c r="A194" s="8">
        <v>33970</v>
      </c>
      <c r="B194" s="9">
        <v>1.1600000000000001E-2</v>
      </c>
      <c r="C194" s="9">
        <v>-2.3700000000000002E-2</v>
      </c>
      <c r="D194" s="9">
        <v>-1.6399999999999998E-2</v>
      </c>
      <c r="E194" s="9">
        <v>-5.6000000000000008E-3</v>
      </c>
      <c r="F194" s="9">
        <v>2.9100000000000001E-2</v>
      </c>
      <c r="G194" s="9">
        <v>9.1199999999999989E-2</v>
      </c>
      <c r="H194" s="9">
        <v>-8.0000000000000004E-4</v>
      </c>
      <c r="I194" s="10">
        <f t="shared" ref="I194:I257" si="6">SUMPRODUCT(B194:H194,$M$5:$S$5)</f>
        <v>-2.6615372574959363E-3</v>
      </c>
    </row>
    <row r="195" spans="1:9" x14ac:dyDescent="0.35">
      <c r="A195" s="8">
        <v>34001</v>
      </c>
      <c r="B195" s="9">
        <v>3.4999999999999996E-3</v>
      </c>
      <c r="C195" s="9">
        <v>-9.0000000000000011E-3</v>
      </c>
      <c r="D195" s="9">
        <v>5.7300000000000004E-2</v>
      </c>
      <c r="E195" s="9">
        <v>8.2400000000000001E-2</v>
      </c>
      <c r="F195" s="9">
        <v>4.2500000000000003E-2</v>
      </c>
      <c r="G195" s="9">
        <v>8.3000000000000001E-3</v>
      </c>
      <c r="H195" s="9">
        <v>3.9699999999999999E-2</v>
      </c>
      <c r="I195" s="10">
        <f t="shared" si="6"/>
        <v>6.9349074713366725E-3</v>
      </c>
    </row>
    <row r="196" spans="1:9" x14ac:dyDescent="0.35">
      <c r="A196" s="8">
        <v>34029</v>
      </c>
      <c r="B196" s="9">
        <v>2.5499999999999998E-2</v>
      </c>
      <c r="C196" s="9">
        <v>6.0899999999999996E-2</v>
      </c>
      <c r="D196" s="9">
        <v>3.4300000000000004E-2</v>
      </c>
      <c r="E196" s="9">
        <v>7.0000000000000007E-2</v>
      </c>
      <c r="F196" s="9">
        <v>4.1599999999999998E-2</v>
      </c>
      <c r="G196" s="9">
        <v>-8.6400000000000005E-2</v>
      </c>
      <c r="H196" s="9">
        <v>0.1618</v>
      </c>
      <c r="I196" s="10">
        <f t="shared" si="6"/>
        <v>5.128850816466321E-2</v>
      </c>
    </row>
    <row r="197" spans="1:9" x14ac:dyDescent="0.35">
      <c r="A197" s="8">
        <v>34060</v>
      </c>
      <c r="B197" s="9">
        <v>-2.8099999999999997E-2</v>
      </c>
      <c r="C197" s="9">
        <v>2.6499999999999999E-2</v>
      </c>
      <c r="D197" s="9">
        <v>4.0500000000000001E-2</v>
      </c>
      <c r="E197" s="9">
        <v>-2.1600000000000001E-2</v>
      </c>
      <c r="F197" s="9">
        <v>-1.4800000000000001E-2</v>
      </c>
      <c r="G197" s="9">
        <v>0.20350000000000001</v>
      </c>
      <c r="H197" s="9">
        <v>0.17190000000000003</v>
      </c>
      <c r="I197" s="10">
        <f t="shared" si="6"/>
        <v>7.0691845419445613E-3</v>
      </c>
    </row>
    <row r="198" spans="1:9" x14ac:dyDescent="0.35">
      <c r="A198" s="8">
        <v>34090</v>
      </c>
      <c r="B198" s="9">
        <v>3.1E-2</v>
      </c>
      <c r="C198" s="9">
        <v>5.1000000000000004E-3</v>
      </c>
      <c r="D198" s="9">
        <v>1.46E-2</v>
      </c>
      <c r="E198" s="9">
        <v>-1.61E-2</v>
      </c>
      <c r="F198" s="9">
        <v>3.0000000000000001E-3</v>
      </c>
      <c r="G198" s="9">
        <v>3.7900000000000003E-2</v>
      </c>
      <c r="H198" s="9">
        <v>3.4099999999999998E-2</v>
      </c>
      <c r="I198" s="10">
        <f t="shared" si="6"/>
        <v>1.9125505239753524E-2</v>
      </c>
    </row>
    <row r="199" spans="1:9" x14ac:dyDescent="0.35">
      <c r="A199" s="8">
        <v>34121</v>
      </c>
      <c r="B199" s="9">
        <v>5.6000000000000008E-3</v>
      </c>
      <c r="C199" s="9">
        <v>-2.1899999999999999E-2</v>
      </c>
      <c r="D199" s="9">
        <v>-6.5000000000000006E-3</v>
      </c>
      <c r="E199" s="9">
        <v>-3.4000000000000002E-2</v>
      </c>
      <c r="F199" s="9">
        <v>-4.41E-2</v>
      </c>
      <c r="G199" s="9">
        <v>-5.3699999999999998E-2</v>
      </c>
      <c r="H199" s="9">
        <v>-3.1800000000000002E-2</v>
      </c>
      <c r="I199" s="10">
        <f t="shared" si="6"/>
        <v>-9.6812844725638891E-3</v>
      </c>
    </row>
    <row r="200" spans="1:9" x14ac:dyDescent="0.35">
      <c r="A200" s="8">
        <v>34151</v>
      </c>
      <c r="B200" s="9">
        <v>-1.0000000000000002E-3</v>
      </c>
      <c r="C200" s="9">
        <v>1.26E-2</v>
      </c>
      <c r="D200" s="9">
        <v>-9.4999999999999998E-3</v>
      </c>
      <c r="E200" s="9">
        <v>1.9599999999999999E-2</v>
      </c>
      <c r="F200" s="9">
        <v>4.5400000000000003E-2</v>
      </c>
      <c r="G200" s="9">
        <v>2.6099999999999998E-2</v>
      </c>
      <c r="H200" s="9">
        <v>7.7399999999999997E-2</v>
      </c>
      <c r="I200" s="10">
        <f t="shared" si="6"/>
        <v>1.1420888859199901E-2</v>
      </c>
    </row>
    <row r="201" spans="1:9" x14ac:dyDescent="0.35">
      <c r="A201" s="8">
        <v>34182</v>
      </c>
      <c r="B201" s="9">
        <v>3.9699999999999999E-2</v>
      </c>
      <c r="C201" s="9">
        <v>6.3500000000000001E-2</v>
      </c>
      <c r="D201" s="9">
        <v>1.44E-2</v>
      </c>
      <c r="E201" s="9">
        <v>8.6599999999999996E-2</v>
      </c>
      <c r="F201" s="9">
        <v>0.10710000000000001</v>
      </c>
      <c r="G201" s="9">
        <v>0.12640000000000001</v>
      </c>
      <c r="H201" s="9">
        <v>2.3900000000000001E-2</v>
      </c>
      <c r="I201" s="10">
        <f t="shared" si="6"/>
        <v>5.0116237220771583E-2</v>
      </c>
    </row>
    <row r="202" spans="1:9" x14ac:dyDescent="0.35">
      <c r="A202" s="8">
        <v>34213</v>
      </c>
      <c r="B202" s="9">
        <v>1.4000000000000002E-3</v>
      </c>
      <c r="C202" s="9">
        <v>-1.29E-2</v>
      </c>
      <c r="D202" s="9">
        <v>-4.7599999999999996E-2</v>
      </c>
      <c r="E202" s="9">
        <v>-4.6999999999999993E-3</v>
      </c>
      <c r="F202" s="9">
        <v>1.5100000000000001E-2</v>
      </c>
      <c r="G202" s="9">
        <v>-5.3099999999999994E-2</v>
      </c>
      <c r="H202" s="9">
        <v>-5.7300000000000004E-2</v>
      </c>
      <c r="I202" s="10">
        <f t="shared" si="6"/>
        <v>-8.444961113329718E-3</v>
      </c>
    </row>
    <row r="203" spans="1:9" x14ac:dyDescent="0.35">
      <c r="A203" s="8">
        <v>34243</v>
      </c>
      <c r="B203" s="9">
        <v>1.6299999999999999E-2</v>
      </c>
      <c r="C203" s="9">
        <v>3.2199999999999999E-2</v>
      </c>
      <c r="D203" s="9">
        <v>9.35E-2</v>
      </c>
      <c r="E203" s="9">
        <v>7.1999999999999998E-3</v>
      </c>
      <c r="F203" s="9">
        <v>5.16E-2</v>
      </c>
      <c r="G203" s="9">
        <v>-4.9400000000000006E-2</v>
      </c>
      <c r="H203" s="9">
        <v>-8.5000000000000006E-3</v>
      </c>
      <c r="I203" s="10">
        <f t="shared" si="6"/>
        <v>1.9656607213009825E-2</v>
      </c>
    </row>
    <row r="204" spans="1:9" x14ac:dyDescent="0.35">
      <c r="A204" s="8">
        <v>34274</v>
      </c>
      <c r="B204" s="9">
        <v>-1.6399999999999998E-2</v>
      </c>
      <c r="C204" s="9">
        <v>3.5999999999999999E-3</v>
      </c>
      <c r="D204" s="9">
        <v>-2.5000000000000001E-2</v>
      </c>
      <c r="E204" s="9">
        <v>-2.69E-2</v>
      </c>
      <c r="F204" s="9">
        <v>-1.9299999999999998E-2</v>
      </c>
      <c r="G204" s="9">
        <v>-9.8599999999999993E-2</v>
      </c>
      <c r="H204" s="9">
        <v>-0.1588</v>
      </c>
      <c r="I204" s="10">
        <f t="shared" si="6"/>
        <v>-2.1084131245892798E-2</v>
      </c>
    </row>
    <row r="205" spans="1:9" x14ac:dyDescent="0.35">
      <c r="A205" s="8">
        <v>34304</v>
      </c>
      <c r="B205" s="9">
        <v>1.8799999999999997E-2</v>
      </c>
      <c r="C205" s="9">
        <v>7.2999999999999995E-2</v>
      </c>
      <c r="D205" s="9">
        <v>4.3400000000000001E-2</v>
      </c>
      <c r="E205" s="9">
        <v>9.2100000000000015E-2</v>
      </c>
      <c r="F205" s="9">
        <v>5.9500000000000004E-2</v>
      </c>
      <c r="G205" s="9">
        <v>0.13239999999999999</v>
      </c>
      <c r="H205" s="9">
        <v>2.5000000000000001E-2</v>
      </c>
      <c r="I205" s="10">
        <f t="shared" si="6"/>
        <v>4.2991145265702801E-2</v>
      </c>
    </row>
    <row r="206" spans="1:9" x14ac:dyDescent="0.35">
      <c r="A206" s="8">
        <v>34335</v>
      </c>
      <c r="B206" s="9">
        <v>3.1200000000000002E-2</v>
      </c>
      <c r="C206" s="9">
        <v>5.28E-2</v>
      </c>
      <c r="D206" s="9">
        <v>5.7599999999999998E-2</v>
      </c>
      <c r="E206" s="9">
        <v>5.2000000000000005E-2</v>
      </c>
      <c r="F206" s="9">
        <v>-1.1899999999999999E-2</v>
      </c>
      <c r="G206" s="9">
        <v>9.7799999999999998E-2</v>
      </c>
      <c r="H206" s="9">
        <v>0.17170000000000002</v>
      </c>
      <c r="I206" s="10">
        <f t="shared" si="6"/>
        <v>5.0632431457782651E-2</v>
      </c>
    </row>
    <row r="207" spans="1:9" x14ac:dyDescent="0.35">
      <c r="A207" s="8">
        <v>34366</v>
      </c>
      <c r="B207" s="9">
        <v>-2.35E-2</v>
      </c>
      <c r="C207" s="9">
        <v>-5.5899999999999998E-2</v>
      </c>
      <c r="D207" s="9">
        <v>-4.41E-2</v>
      </c>
      <c r="E207" s="9">
        <v>-2.5499999999999998E-2</v>
      </c>
      <c r="F207" s="9">
        <v>-1.6200000000000003E-2</v>
      </c>
      <c r="G207" s="9">
        <v>-1.72E-2</v>
      </c>
      <c r="H207" s="9">
        <v>3.9300000000000002E-2</v>
      </c>
      <c r="I207" s="10">
        <f t="shared" si="6"/>
        <v>-3.0065792026464293E-2</v>
      </c>
    </row>
    <row r="208" spans="1:9" x14ac:dyDescent="0.35">
      <c r="A208" s="8">
        <v>34394</v>
      </c>
      <c r="B208" s="9">
        <v>-4.5100000000000001E-2</v>
      </c>
      <c r="C208" s="9">
        <v>-6.4399999999999999E-2</v>
      </c>
      <c r="D208" s="9">
        <v>-4.1700000000000001E-2</v>
      </c>
      <c r="E208" s="9">
        <v>-0.05</v>
      </c>
      <c r="F208" s="9">
        <v>3.5699999999999996E-2</v>
      </c>
      <c r="G208" s="9">
        <v>0.17329999999999998</v>
      </c>
      <c r="H208" s="9">
        <v>-3.0299999999999997E-2</v>
      </c>
      <c r="I208" s="10">
        <f t="shared" si="6"/>
        <v>-5.0452123020483741E-2</v>
      </c>
    </row>
    <row r="209" spans="1:9" x14ac:dyDescent="0.35">
      <c r="A209" s="8">
        <v>34425</v>
      </c>
      <c r="B209" s="9">
        <v>9.5000000000000015E-3</v>
      </c>
      <c r="C209" s="9">
        <v>3.8599999999999995E-2</v>
      </c>
      <c r="D209" s="9">
        <v>-4.3E-3</v>
      </c>
      <c r="E209" s="9">
        <v>3.44E-2</v>
      </c>
      <c r="F209" s="9">
        <v>6.3600000000000004E-2</v>
      </c>
      <c r="G209" s="9">
        <v>0.11749999999999999</v>
      </c>
      <c r="H209" s="9">
        <v>3.6400000000000002E-2</v>
      </c>
      <c r="I209" s="10">
        <f t="shared" si="6"/>
        <v>2.367588729008115E-2</v>
      </c>
    </row>
    <row r="210" spans="1:9" x14ac:dyDescent="0.35">
      <c r="A210" s="8">
        <v>34455</v>
      </c>
      <c r="B210" s="9">
        <v>8.8999999999999982E-3</v>
      </c>
      <c r="C210" s="9">
        <v>-5.4900000000000004E-2</v>
      </c>
      <c r="D210" s="9">
        <v>1.3999999999999999E-2</v>
      </c>
      <c r="E210" s="9">
        <v>-4.9699999999999994E-2</v>
      </c>
      <c r="F210" s="9">
        <v>-5.6399999999999999E-2</v>
      </c>
      <c r="G210" s="9">
        <v>-7.9699999999999993E-2</v>
      </c>
      <c r="H210" s="9">
        <v>1.77E-2</v>
      </c>
      <c r="I210" s="10">
        <f t="shared" si="6"/>
        <v>-1.6785916963418565E-2</v>
      </c>
    </row>
    <row r="211" spans="1:9" x14ac:dyDescent="0.35">
      <c r="A211" s="8">
        <v>34486</v>
      </c>
      <c r="B211" s="9">
        <v>-2.7199999999999998E-2</v>
      </c>
      <c r="C211" s="9">
        <v>5.6000000000000008E-3</v>
      </c>
      <c r="D211" s="9">
        <v>-6.7699999999999996E-2</v>
      </c>
      <c r="E211" s="9">
        <v>-2.8999999999999998E-2</v>
      </c>
      <c r="F211" s="9">
        <v>7.6E-3</v>
      </c>
      <c r="G211" s="9">
        <v>-6.2400000000000004E-2</v>
      </c>
      <c r="H211" s="9">
        <v>5.5E-2</v>
      </c>
      <c r="I211" s="10">
        <f t="shared" si="6"/>
        <v>-9.1724264394278665E-3</v>
      </c>
    </row>
    <row r="212" spans="1:9" x14ac:dyDescent="0.35">
      <c r="A212" s="8">
        <v>34516</v>
      </c>
      <c r="B212" s="9">
        <v>3.0999999999999996E-2</v>
      </c>
      <c r="C212" s="9">
        <v>5.2499999999999998E-2</v>
      </c>
      <c r="D212" s="9">
        <v>4.2199999999999994E-2</v>
      </c>
      <c r="E212" s="9">
        <v>9.3900000000000011E-2</v>
      </c>
      <c r="F212" s="9">
        <v>4.9000000000000002E-2</v>
      </c>
      <c r="G212" s="9">
        <v>4.2099999999999999E-2</v>
      </c>
      <c r="H212" s="9">
        <v>-3.8599999999999995E-2</v>
      </c>
      <c r="I212" s="10">
        <f t="shared" si="6"/>
        <v>3.7047606769597237E-2</v>
      </c>
    </row>
    <row r="213" spans="1:9" x14ac:dyDescent="0.35">
      <c r="A213" s="8">
        <v>34547</v>
      </c>
      <c r="B213" s="9">
        <v>4.3799999999999999E-2</v>
      </c>
      <c r="C213" s="9">
        <v>6.54E-2</v>
      </c>
      <c r="D213" s="9">
        <v>6.54E-2</v>
      </c>
      <c r="E213" s="9">
        <v>3.0000000000000001E-3</v>
      </c>
      <c r="F213" s="9">
        <v>3.3300000000000003E-2</v>
      </c>
      <c r="G213" s="9">
        <v>-3.6699999999999997E-2</v>
      </c>
      <c r="H213" s="9">
        <v>7.6E-3</v>
      </c>
      <c r="I213" s="10">
        <f t="shared" si="6"/>
        <v>4.6047039361046371E-2</v>
      </c>
    </row>
    <row r="214" spans="1:9" x14ac:dyDescent="0.35">
      <c r="A214" s="8">
        <v>34578</v>
      </c>
      <c r="B214" s="9">
        <v>-1.9400000000000001E-2</v>
      </c>
      <c r="C214" s="9">
        <v>-4.0099999999999997E-2</v>
      </c>
      <c r="D214" s="9">
        <v>2.1400000000000002E-2</v>
      </c>
      <c r="E214" s="9">
        <v>-6.54E-2</v>
      </c>
      <c r="F214" s="9">
        <v>-6.13E-2</v>
      </c>
      <c r="G214" s="9">
        <v>2.0999999999999999E-3</v>
      </c>
      <c r="H214" s="9">
        <v>-2.64E-2</v>
      </c>
      <c r="I214" s="10">
        <f t="shared" si="6"/>
        <v>-3.0264888235638773E-2</v>
      </c>
    </row>
    <row r="215" spans="1:9" x14ac:dyDescent="0.35">
      <c r="A215" s="8">
        <v>34608</v>
      </c>
      <c r="B215" s="9">
        <v>1.7200000000000003E-2</v>
      </c>
      <c r="C215" s="9">
        <v>5.96E-2</v>
      </c>
      <c r="D215" s="9">
        <v>-1.04E-2</v>
      </c>
      <c r="E215" s="9">
        <v>3.8199999999999998E-2</v>
      </c>
      <c r="F215" s="9">
        <v>5.9699999999999996E-2</v>
      </c>
      <c r="G215" s="9">
        <v>-4.87E-2</v>
      </c>
      <c r="H215" s="9">
        <v>3.1699999999999999E-2</v>
      </c>
      <c r="I215" s="10">
        <f t="shared" si="6"/>
        <v>3.4765611590500269E-2</v>
      </c>
    </row>
    <row r="216" spans="1:9" x14ac:dyDescent="0.35">
      <c r="A216" s="8">
        <v>34639</v>
      </c>
      <c r="B216" s="9">
        <v>-3.6699999999999997E-2</v>
      </c>
      <c r="C216" s="9">
        <v>-4.9800000000000004E-2</v>
      </c>
      <c r="D216" s="9">
        <v>-5.9900000000000002E-2</v>
      </c>
      <c r="E216" s="9">
        <v>-1.7299999999999999E-2</v>
      </c>
      <c r="F216" s="9">
        <v>-5.9400000000000001E-2</v>
      </c>
      <c r="G216" s="9">
        <v>-6.2100000000000002E-2</v>
      </c>
      <c r="H216" s="9">
        <v>-5.8099999999999999E-2</v>
      </c>
      <c r="I216" s="10">
        <f t="shared" si="6"/>
        <v>-4.1952718139700265E-2</v>
      </c>
    </row>
    <row r="217" spans="1:9" x14ac:dyDescent="0.35">
      <c r="A217" s="8">
        <v>34669</v>
      </c>
      <c r="B217" s="9">
        <v>1.3000000000000001E-2</v>
      </c>
      <c r="C217" s="9">
        <v>1.2999999999999999E-3</v>
      </c>
      <c r="D217" s="9">
        <v>1.9099999999999999E-2</v>
      </c>
      <c r="E217" s="9">
        <v>-3.4500000000000003E-2</v>
      </c>
      <c r="F217" s="9">
        <v>3.7200000000000004E-2</v>
      </c>
      <c r="G217" s="9">
        <v>1.21E-2</v>
      </c>
      <c r="H217" s="9">
        <v>1.8600000000000002E-2</v>
      </c>
      <c r="I217" s="10">
        <f t="shared" si="6"/>
        <v>6.6454684954974407E-3</v>
      </c>
    </row>
    <row r="218" spans="1:9" x14ac:dyDescent="0.35">
      <c r="A218" s="8">
        <v>34700</v>
      </c>
      <c r="B218" s="9">
        <v>2.2200000000000001E-2</v>
      </c>
      <c r="C218" s="9">
        <v>-8.6E-3</v>
      </c>
      <c r="D218" s="9">
        <v>-4.9400000000000006E-2</v>
      </c>
      <c r="E218" s="9">
        <v>-3.44E-2</v>
      </c>
      <c r="F218" s="9">
        <v>-1.7399999999999999E-2</v>
      </c>
      <c r="G218" s="9">
        <v>5.9699999999999996E-2</v>
      </c>
      <c r="H218" s="9">
        <v>-6.5799999999999997E-2</v>
      </c>
      <c r="I218" s="10">
        <f t="shared" si="6"/>
        <v>8.8311097086115481E-4</v>
      </c>
    </row>
    <row r="219" spans="1:9" x14ac:dyDescent="0.35">
      <c r="A219" s="8">
        <v>34731</v>
      </c>
      <c r="B219" s="9">
        <v>4.0300000000000002E-2</v>
      </c>
      <c r="C219" s="9">
        <v>7.7000000000000002E-3</v>
      </c>
      <c r="D219" s="9">
        <v>4.6699999999999998E-2</v>
      </c>
      <c r="E219" s="9">
        <v>2.5000000000000001E-2</v>
      </c>
      <c r="F219" s="9">
        <v>8.539999999999999E-2</v>
      </c>
      <c r="G219" s="9">
        <v>-8.2299999999999998E-2</v>
      </c>
      <c r="H219" s="9">
        <v>-4.8499999999999995E-2</v>
      </c>
      <c r="I219" s="10">
        <f t="shared" si="6"/>
        <v>2.1364053229501662E-2</v>
      </c>
    </row>
    <row r="220" spans="1:9" x14ac:dyDescent="0.35">
      <c r="A220" s="8">
        <v>34759</v>
      </c>
      <c r="B220" s="9">
        <v>2.64E-2</v>
      </c>
      <c r="C220" s="9">
        <v>5.62E-2</v>
      </c>
      <c r="D220" s="9">
        <v>3.9300000000000002E-2</v>
      </c>
      <c r="E220" s="9">
        <v>0.1105</v>
      </c>
      <c r="F220" s="9">
        <v>-2.86E-2</v>
      </c>
      <c r="G220" s="9">
        <v>-7.5600000000000001E-2</v>
      </c>
      <c r="H220" s="9">
        <v>0.09</v>
      </c>
      <c r="I220" s="10">
        <f t="shared" si="6"/>
        <v>4.6459874042630495E-2</v>
      </c>
    </row>
    <row r="221" spans="1:9" x14ac:dyDescent="0.35">
      <c r="A221" s="8">
        <v>34790</v>
      </c>
      <c r="B221" s="9">
        <v>2.5499999999999998E-2</v>
      </c>
      <c r="C221" s="9">
        <v>2.92E-2</v>
      </c>
      <c r="D221" s="9">
        <v>1.9400000000000001E-2</v>
      </c>
      <c r="E221" s="9">
        <v>1.01E-2</v>
      </c>
      <c r="F221" s="9">
        <v>4.5700000000000005E-2</v>
      </c>
      <c r="G221" s="9">
        <v>0.107</v>
      </c>
      <c r="H221" s="9">
        <v>4.8799999999999996E-2</v>
      </c>
      <c r="I221" s="10">
        <f t="shared" si="6"/>
        <v>2.7823843831350628E-2</v>
      </c>
    </row>
    <row r="222" spans="1:9" x14ac:dyDescent="0.35">
      <c r="A222" s="8">
        <v>34820</v>
      </c>
      <c r="B222" s="9">
        <v>3.44E-2</v>
      </c>
      <c r="C222" s="9">
        <v>1.9799999999999998E-2</v>
      </c>
      <c r="D222" s="9">
        <v>3.5200000000000002E-2</v>
      </c>
      <c r="E222" s="9">
        <v>1.7100000000000001E-2</v>
      </c>
      <c r="F222" s="9">
        <v>1.11E-2</v>
      </c>
      <c r="G222" s="9">
        <v>2.9999999999999997E-4</v>
      </c>
      <c r="H222" s="9">
        <v>-5.79E-2</v>
      </c>
      <c r="I222" s="10">
        <f t="shared" si="6"/>
        <v>2.090959263272572E-2</v>
      </c>
    </row>
    <row r="223" spans="1:9" x14ac:dyDescent="0.35">
      <c r="A223" s="8">
        <v>34851</v>
      </c>
      <c r="B223" s="9">
        <v>3.1900000000000005E-2</v>
      </c>
      <c r="C223" s="9">
        <v>3.3E-3</v>
      </c>
      <c r="D223" s="9">
        <v>1.6299999999999999E-2</v>
      </c>
      <c r="E223" s="9">
        <v>-1.77E-2</v>
      </c>
      <c r="F223" s="9">
        <v>3.3799999999999997E-2</v>
      </c>
      <c r="G223" s="9">
        <v>-2.7099999999999999E-2</v>
      </c>
      <c r="H223" s="9">
        <v>-4.5700000000000005E-2</v>
      </c>
      <c r="I223" s="10">
        <f t="shared" si="6"/>
        <v>1.2874047275593877E-2</v>
      </c>
    </row>
    <row r="224" spans="1:9" x14ac:dyDescent="0.35">
      <c r="A224" s="8">
        <v>34881</v>
      </c>
      <c r="B224" s="9">
        <v>4.1700000000000001E-2</v>
      </c>
      <c r="C224" s="9">
        <v>5.7000000000000002E-2</v>
      </c>
      <c r="D224" s="9">
        <v>2.7000000000000003E-2</v>
      </c>
      <c r="E224" s="9">
        <v>3.7499999999999999E-2</v>
      </c>
      <c r="F224" s="9">
        <v>5.2300000000000006E-2</v>
      </c>
      <c r="G224" s="9">
        <v>8.2599999999999993E-2</v>
      </c>
      <c r="H224" s="9">
        <v>7.0300000000000001E-2</v>
      </c>
      <c r="I224" s="10">
        <f t="shared" si="6"/>
        <v>4.9111632041479017E-2</v>
      </c>
    </row>
    <row r="225" spans="1:9" x14ac:dyDescent="0.35">
      <c r="A225" s="8">
        <v>34912</v>
      </c>
      <c r="B225" s="9">
        <v>1.0200000000000001E-2</v>
      </c>
      <c r="C225" s="9">
        <v>-1.9699999999999999E-2</v>
      </c>
      <c r="D225" s="9">
        <v>-7.7000000000000002E-3</v>
      </c>
      <c r="E225" s="9">
        <v>-6.3399999999999998E-2</v>
      </c>
      <c r="F225" s="9">
        <v>-4.6199999999999998E-2</v>
      </c>
      <c r="G225" s="9">
        <v>-3.5000000000000003E-2</v>
      </c>
      <c r="H225" s="9">
        <v>-2.9100000000000001E-2</v>
      </c>
      <c r="I225" s="10">
        <f t="shared" si="6"/>
        <v>-8.1600467584877941E-3</v>
      </c>
    </row>
    <row r="226" spans="1:9" x14ac:dyDescent="0.35">
      <c r="A226" s="8">
        <v>34943</v>
      </c>
      <c r="B226" s="9">
        <v>3.78E-2</v>
      </c>
      <c r="C226" s="9">
        <v>3.1800000000000002E-2</v>
      </c>
      <c r="D226" s="9">
        <v>2.2000000000000001E-3</v>
      </c>
      <c r="E226" s="9">
        <v>-1.44E-2</v>
      </c>
      <c r="F226" s="9">
        <v>8.1000000000000013E-3</v>
      </c>
      <c r="G226" s="9">
        <v>-2.6200000000000001E-2</v>
      </c>
      <c r="H226" s="9">
        <v>-1.2699999999999999E-2</v>
      </c>
      <c r="I226" s="10">
        <f t="shared" si="6"/>
        <v>2.8431231438092966E-2</v>
      </c>
    </row>
    <row r="227" spans="1:9" x14ac:dyDescent="0.35">
      <c r="A227" s="8">
        <v>34973</v>
      </c>
      <c r="B227" s="9">
        <v>-1.0500000000000001E-2</v>
      </c>
      <c r="C227" s="9">
        <v>4.8999999999999998E-3</v>
      </c>
      <c r="D227" s="9">
        <v>-1.2500000000000001E-2</v>
      </c>
      <c r="E227" s="9">
        <v>1.77E-2</v>
      </c>
      <c r="F227" s="9">
        <v>-3.4000000000000002E-3</v>
      </c>
      <c r="G227" s="9">
        <v>-4.87E-2</v>
      </c>
      <c r="H227" s="9">
        <v>-4.1399999999999999E-2</v>
      </c>
      <c r="I227" s="10">
        <f t="shared" si="6"/>
        <v>-5.7500514496823113E-3</v>
      </c>
    </row>
    <row r="228" spans="1:9" x14ac:dyDescent="0.35">
      <c r="A228" s="8">
        <v>35004</v>
      </c>
      <c r="B228" s="9">
        <v>4.3700000000000003E-2</v>
      </c>
      <c r="C228" s="9">
        <v>7.4999999999999997E-3</v>
      </c>
      <c r="D228" s="9">
        <v>3.39E-2</v>
      </c>
      <c r="E228" s="9">
        <v>-1.09E-2</v>
      </c>
      <c r="F228" s="9">
        <v>-3.9000000000000003E-3</v>
      </c>
      <c r="G228" s="9">
        <v>-6.1200000000000004E-2</v>
      </c>
      <c r="H228" s="9">
        <v>4.8899999999999999E-2</v>
      </c>
      <c r="I228" s="10">
        <f t="shared" si="6"/>
        <v>2.7785625823960079E-2</v>
      </c>
    </row>
    <row r="229" spans="1:9" x14ac:dyDescent="0.35">
      <c r="A229" s="8">
        <v>35034</v>
      </c>
      <c r="B229" s="9">
        <v>1.52E-2</v>
      </c>
      <c r="C229" s="9">
        <v>2.75E-2</v>
      </c>
      <c r="D229" s="9">
        <v>1.11E-2</v>
      </c>
      <c r="E229" s="9">
        <v>3.8399999999999997E-2</v>
      </c>
      <c r="F229" s="9">
        <v>3.0499999999999999E-2</v>
      </c>
      <c r="G229" s="9">
        <v>8.8300000000000003E-2</v>
      </c>
      <c r="H229" s="9">
        <v>4.8799999999999996E-2</v>
      </c>
      <c r="I229" s="10">
        <f t="shared" si="6"/>
        <v>2.3625395365000204E-2</v>
      </c>
    </row>
    <row r="230" spans="1:9" x14ac:dyDescent="0.35">
      <c r="A230" s="8">
        <v>35065</v>
      </c>
      <c r="B230" s="9">
        <v>2.69E-2</v>
      </c>
      <c r="C230" s="9">
        <v>-3.4999999999999996E-3</v>
      </c>
      <c r="D230" s="9">
        <v>4.8300000000000003E-2</v>
      </c>
      <c r="E230" s="9">
        <v>4.24E-2</v>
      </c>
      <c r="F230" s="9">
        <v>4.0399999999999998E-2</v>
      </c>
      <c r="G230" s="9">
        <v>5.0499999999999996E-2</v>
      </c>
      <c r="H230" s="9">
        <v>-1.67E-2</v>
      </c>
      <c r="I230" s="10">
        <f t="shared" si="6"/>
        <v>1.3872406751673278E-2</v>
      </c>
    </row>
    <row r="231" spans="1:9" x14ac:dyDescent="0.35">
      <c r="A231" s="8">
        <v>35096</v>
      </c>
      <c r="B231" s="9">
        <v>1.7200000000000003E-2</v>
      </c>
      <c r="C231" s="9">
        <v>1.09E-2</v>
      </c>
      <c r="D231" s="9">
        <v>-1.1000000000000001E-2</v>
      </c>
      <c r="E231" s="9">
        <v>2.0199999999999999E-2</v>
      </c>
      <c r="F231" s="9">
        <v>1.0200000000000001E-2</v>
      </c>
      <c r="G231" s="9">
        <v>-3.2000000000000002E-3</v>
      </c>
      <c r="H231" s="9">
        <v>-1.4999999999999999E-2</v>
      </c>
      <c r="I231" s="10">
        <f t="shared" si="6"/>
        <v>1.2620793736226564E-2</v>
      </c>
    </row>
    <row r="232" spans="1:9" x14ac:dyDescent="0.35">
      <c r="A232" s="8">
        <v>35125</v>
      </c>
      <c r="B232" s="9">
        <v>1.1200000000000002E-2</v>
      </c>
      <c r="C232" s="9">
        <v>-2E-3</v>
      </c>
      <c r="D232" s="9">
        <v>2.0299999999999999E-2</v>
      </c>
      <c r="E232" s="9">
        <v>3.27E-2</v>
      </c>
      <c r="F232" s="9">
        <v>8.0000000000000004E-4</v>
      </c>
      <c r="G232" s="9">
        <v>-4.5100000000000001E-2</v>
      </c>
      <c r="H232" s="9">
        <v>3.0499999999999999E-2</v>
      </c>
      <c r="I232" s="10">
        <f t="shared" si="6"/>
        <v>9.2835548528226348E-3</v>
      </c>
    </row>
    <row r="233" spans="1:9" x14ac:dyDescent="0.35">
      <c r="A233" s="8">
        <v>35156</v>
      </c>
      <c r="B233" s="9">
        <v>2.52E-2</v>
      </c>
      <c r="C233" s="9">
        <v>2.4199999999999999E-2</v>
      </c>
      <c r="D233" s="9">
        <v>3.78E-2</v>
      </c>
      <c r="E233" s="9">
        <v>2.0400000000000001E-2</v>
      </c>
      <c r="F233" s="9">
        <v>-3.6299999999999999E-2</v>
      </c>
      <c r="G233" s="9">
        <v>0.1454</v>
      </c>
      <c r="H233" s="9">
        <v>5.3800000000000001E-2</v>
      </c>
      <c r="I233" s="10">
        <f t="shared" si="6"/>
        <v>2.634898569298575E-2</v>
      </c>
    </row>
    <row r="234" spans="1:9" x14ac:dyDescent="0.35">
      <c r="A234" s="8">
        <v>35186</v>
      </c>
      <c r="B234" s="9">
        <v>2.7799999999999998E-2</v>
      </c>
      <c r="C234" s="9">
        <v>1.4199999999999999E-2</v>
      </c>
      <c r="D234" s="9">
        <v>1.32E-2</v>
      </c>
      <c r="E234" s="9">
        <v>-5.7999999999999996E-3</v>
      </c>
      <c r="F234" s="9">
        <v>2.0199999999999999E-2</v>
      </c>
      <c r="G234" s="9">
        <v>2.41E-2</v>
      </c>
      <c r="H234" s="9">
        <v>-3.9800000000000002E-2</v>
      </c>
      <c r="I234" s="10">
        <f t="shared" si="6"/>
        <v>1.5708873182372341E-2</v>
      </c>
    </row>
    <row r="235" spans="1:9" x14ac:dyDescent="0.35">
      <c r="A235" s="8">
        <v>35217</v>
      </c>
      <c r="B235" s="9">
        <v>-7.3999999999999986E-3</v>
      </c>
      <c r="C235" s="9">
        <v>-9.1999999999999998E-3</v>
      </c>
      <c r="D235" s="9">
        <v>-2.4900000000000002E-2</v>
      </c>
      <c r="E235" s="9">
        <v>8.1000000000000013E-3</v>
      </c>
      <c r="F235" s="9">
        <v>2.3700000000000002E-2</v>
      </c>
      <c r="G235" s="9">
        <v>-4.5000000000000005E-3</v>
      </c>
      <c r="H235" s="9">
        <v>7.3000000000000001E-3</v>
      </c>
      <c r="I235" s="10">
        <f t="shared" si="6"/>
        <v>-5.7416495395619608E-3</v>
      </c>
    </row>
    <row r="236" spans="1:9" x14ac:dyDescent="0.35">
      <c r="A236" s="8">
        <v>35247</v>
      </c>
      <c r="B236" s="9">
        <v>-5.5199999999999999E-2</v>
      </c>
      <c r="C236" s="9">
        <v>3.0999999999999999E-3</v>
      </c>
      <c r="D236" s="9">
        <v>-3.3099999999999997E-2</v>
      </c>
      <c r="E236" s="9">
        <v>-2.5899999999999999E-2</v>
      </c>
      <c r="F236" s="9">
        <v>-1.5E-3</v>
      </c>
      <c r="G236" s="9">
        <v>-7.5300000000000006E-2</v>
      </c>
      <c r="H236" s="9">
        <v>-4.58E-2</v>
      </c>
      <c r="I236" s="10">
        <f t="shared" si="6"/>
        <v>-3.1872873047345318E-2</v>
      </c>
    </row>
    <row r="237" spans="1:9" x14ac:dyDescent="0.35">
      <c r="A237" s="8">
        <v>35278</v>
      </c>
      <c r="B237" s="9">
        <v>3.1699999999999999E-2</v>
      </c>
      <c r="C237" s="9">
        <v>4.9699999999999994E-2</v>
      </c>
      <c r="D237" s="9">
        <v>4.41E-2</v>
      </c>
      <c r="E237" s="9">
        <v>-2.3E-2</v>
      </c>
      <c r="F237" s="9">
        <v>2.07E-2</v>
      </c>
      <c r="G237" s="9">
        <v>-1.0500000000000001E-2</v>
      </c>
      <c r="H237" s="9">
        <v>-4.2900000000000001E-2</v>
      </c>
      <c r="I237" s="10">
        <f t="shared" si="6"/>
        <v>2.886484652020509E-2</v>
      </c>
    </row>
    <row r="238" spans="1:9" x14ac:dyDescent="0.35">
      <c r="A238" s="8">
        <v>35309</v>
      </c>
      <c r="B238" s="9">
        <v>5.4600000000000003E-2</v>
      </c>
      <c r="C238" s="9">
        <v>2.3300000000000001E-2</v>
      </c>
      <c r="D238" s="9">
        <v>3.3799999999999997E-2</v>
      </c>
      <c r="E238" s="9">
        <v>4.9800000000000004E-2</v>
      </c>
      <c r="F238" s="9">
        <v>1.21E-2</v>
      </c>
      <c r="G238" s="9">
        <v>7.0000000000000007E-2</v>
      </c>
      <c r="H238" s="9">
        <v>3.6000000000000004E-2</v>
      </c>
      <c r="I238" s="10">
        <f t="shared" si="6"/>
        <v>4.1584770836596598E-2</v>
      </c>
    </row>
    <row r="239" spans="1:9" x14ac:dyDescent="0.35">
      <c r="A239" s="8">
        <v>35339</v>
      </c>
      <c r="B239" s="9">
        <v>1.2800000000000001E-2</v>
      </c>
      <c r="C239" s="9">
        <v>4.7699999999999992E-2</v>
      </c>
      <c r="D239" s="9">
        <v>8.8699999999999987E-2</v>
      </c>
      <c r="E239" s="9">
        <v>2.0799999999999999E-2</v>
      </c>
      <c r="F239" s="9">
        <v>9.7000000000000003E-3</v>
      </c>
      <c r="G239" s="9">
        <v>-5.1500000000000004E-2</v>
      </c>
      <c r="H239" s="9">
        <v>-6.9000000000000006E-2</v>
      </c>
      <c r="I239" s="10">
        <f t="shared" si="6"/>
        <v>1.9158328163691587E-2</v>
      </c>
    </row>
    <row r="240" spans="1:9" x14ac:dyDescent="0.35">
      <c r="A240" s="8">
        <v>35370</v>
      </c>
      <c r="B240" s="9">
        <v>6.6600000000000006E-2</v>
      </c>
      <c r="C240" s="9">
        <v>5.5300000000000002E-2</v>
      </c>
      <c r="D240" s="9">
        <v>6.8099999999999994E-2</v>
      </c>
      <c r="E240" s="9">
        <v>5.5199999999999999E-2</v>
      </c>
      <c r="F240" s="9">
        <v>4.2500000000000003E-2</v>
      </c>
      <c r="G240" s="9">
        <v>0.1061</v>
      </c>
      <c r="H240" s="9">
        <v>1.54E-2</v>
      </c>
      <c r="I240" s="10">
        <f t="shared" si="6"/>
        <v>5.7806471535952718E-2</v>
      </c>
    </row>
    <row r="241" spans="1:9" x14ac:dyDescent="0.35">
      <c r="A241" s="8">
        <v>35400</v>
      </c>
      <c r="B241" s="9">
        <v>-1.24E-2</v>
      </c>
      <c r="C241" s="9">
        <v>3.6299999999999999E-2</v>
      </c>
      <c r="D241" s="9">
        <v>-3.15E-2</v>
      </c>
      <c r="E241" s="9">
        <v>1.4800000000000001E-2</v>
      </c>
      <c r="F241" s="9">
        <v>2.0899999999999998E-2</v>
      </c>
      <c r="G241" s="9">
        <v>4.5999999999999999E-3</v>
      </c>
      <c r="H241" s="9">
        <v>-6.6600000000000006E-2</v>
      </c>
      <c r="I241" s="10">
        <f t="shared" si="6"/>
        <v>2.3523082265739566E-3</v>
      </c>
    </row>
    <row r="242" spans="1:9" x14ac:dyDescent="0.35">
      <c r="A242" s="8">
        <v>35431</v>
      </c>
      <c r="B242" s="9">
        <v>5.4400000000000004E-2</v>
      </c>
      <c r="C242" s="9">
        <v>-3.0600000000000002E-2</v>
      </c>
      <c r="D242" s="9">
        <v>5.3800000000000001E-2</v>
      </c>
      <c r="E242" s="9">
        <v>1.7000000000000001E-2</v>
      </c>
      <c r="F242" s="9">
        <v>-1.3500000000000002E-2</v>
      </c>
      <c r="G242" s="9">
        <v>0.1158</v>
      </c>
      <c r="H242" s="9">
        <v>-0.10869999999999999</v>
      </c>
      <c r="I242" s="10">
        <f t="shared" si="6"/>
        <v>9.1866649961916593E-3</v>
      </c>
    </row>
    <row r="243" spans="1:9" x14ac:dyDescent="0.35">
      <c r="A243" s="8">
        <v>35462</v>
      </c>
      <c r="B243" s="9">
        <v>-9.999999999999998E-4</v>
      </c>
      <c r="C243" s="9">
        <v>2.6800000000000001E-2</v>
      </c>
      <c r="D243" s="9">
        <v>-8.3000000000000001E-3</v>
      </c>
      <c r="E243" s="9">
        <v>1.0500000000000001E-2</v>
      </c>
      <c r="F243" s="9">
        <v>4.0800000000000003E-2</v>
      </c>
      <c r="G243" s="9">
        <v>-0.10390000000000001</v>
      </c>
      <c r="H243" s="9">
        <v>2.1499999999999998E-2</v>
      </c>
      <c r="I243" s="10">
        <f t="shared" si="6"/>
        <v>1.1487041544607866E-2</v>
      </c>
    </row>
    <row r="244" spans="1:9" x14ac:dyDescent="0.35">
      <c r="A244" s="8">
        <v>35490</v>
      </c>
      <c r="B244" s="9">
        <v>-4.6000000000000006E-2</v>
      </c>
      <c r="C244" s="9">
        <v>1.1000000000000001E-2</v>
      </c>
      <c r="D244" s="9">
        <v>-5.3399999999999996E-2</v>
      </c>
      <c r="E244" s="9">
        <v>3.3399999999999999E-2</v>
      </c>
      <c r="F244" s="9">
        <v>7.0599999999999996E-2</v>
      </c>
      <c r="G244" s="9">
        <v>2.8199999999999999E-2</v>
      </c>
      <c r="H244" s="9">
        <v>-2.98E-2</v>
      </c>
      <c r="I244" s="10">
        <f t="shared" si="6"/>
        <v>-1.9151043554615308E-2</v>
      </c>
    </row>
    <row r="245" spans="1:9" x14ac:dyDescent="0.35">
      <c r="A245" s="8">
        <v>35521</v>
      </c>
      <c r="B245" s="9">
        <v>4.4699999999999997E-2</v>
      </c>
      <c r="C245" s="9">
        <v>1.32E-2</v>
      </c>
      <c r="D245" s="9">
        <v>2.5699999999999997E-2</v>
      </c>
      <c r="E245" s="9">
        <v>-4.07E-2</v>
      </c>
      <c r="F245" s="9">
        <v>-3.3599999999999998E-2</v>
      </c>
      <c r="G245" s="9">
        <v>1.4499999999999999E-2</v>
      </c>
      <c r="H245" s="9">
        <v>2.6600000000000002E-2</v>
      </c>
      <c r="I245" s="10">
        <f t="shared" si="6"/>
        <v>2.6561491723270655E-2</v>
      </c>
    </row>
    <row r="246" spans="1:9" x14ac:dyDescent="0.35">
      <c r="A246" s="8">
        <v>35551</v>
      </c>
      <c r="B246" s="9">
        <v>7.2300000000000003E-2</v>
      </c>
      <c r="C246" s="9">
        <v>4.2599999999999999E-2</v>
      </c>
      <c r="D246" s="9">
        <v>0.08</v>
      </c>
      <c r="E246" s="9">
        <v>-1.09E-2</v>
      </c>
      <c r="F246" s="9">
        <v>3.95E-2</v>
      </c>
      <c r="G246" s="9">
        <v>-3.5999999999999999E-3</v>
      </c>
      <c r="H246" s="9">
        <v>0.1305</v>
      </c>
      <c r="I246" s="10">
        <f t="shared" si="6"/>
        <v>6.116666888645679E-2</v>
      </c>
    </row>
    <row r="247" spans="1:9" x14ac:dyDescent="0.35">
      <c r="A247" s="8">
        <v>35582</v>
      </c>
      <c r="B247" s="9">
        <v>4.4699999999999997E-2</v>
      </c>
      <c r="C247" s="9">
        <v>1.6799999999999999E-2</v>
      </c>
      <c r="D247" s="9">
        <v>1.3500000000000002E-2</v>
      </c>
      <c r="E247" s="9">
        <v>8.0799999999999997E-2</v>
      </c>
      <c r="F247" s="9">
        <v>4.3099999999999999E-2</v>
      </c>
      <c r="G247" s="9">
        <v>9.2699999999999991E-2</v>
      </c>
      <c r="H247" s="9">
        <v>6.7400000000000002E-2</v>
      </c>
      <c r="I247" s="10">
        <f t="shared" si="6"/>
        <v>3.8826921537223474E-2</v>
      </c>
    </row>
    <row r="248" spans="1:9" x14ac:dyDescent="0.35">
      <c r="A248" s="8">
        <v>35612</v>
      </c>
      <c r="B248" s="9">
        <v>7.7600000000000002E-2</v>
      </c>
      <c r="C248" s="9">
        <v>4.8799999999999996E-2</v>
      </c>
      <c r="D248" s="9">
        <v>7.2999999999999995E-2</v>
      </c>
      <c r="E248" s="9">
        <v>2.0099999999999996E-2</v>
      </c>
      <c r="F248" s="9">
        <v>8.1900000000000001E-2</v>
      </c>
      <c r="G248" s="9">
        <v>5.3399999999999996E-2</v>
      </c>
      <c r="H248" s="9">
        <v>-3.0099999999999998E-2</v>
      </c>
      <c r="I248" s="10">
        <f t="shared" si="6"/>
        <v>5.5710024582944932E-2</v>
      </c>
    </row>
    <row r="249" spans="1:9" x14ac:dyDescent="0.35">
      <c r="A249" s="8">
        <v>35643</v>
      </c>
      <c r="B249" s="9">
        <v>-3.7400000000000003E-2</v>
      </c>
      <c r="C249" s="9">
        <v>-2.2000000000000002E-2</v>
      </c>
      <c r="D249" s="9">
        <v>-5.2199999999999996E-2</v>
      </c>
      <c r="E249" s="9">
        <v>-7.0900000000000005E-2</v>
      </c>
      <c r="F249" s="9">
        <v>-9.5000000000000001E-2</v>
      </c>
      <c r="G249" s="9">
        <v>-2.2700000000000001E-2</v>
      </c>
      <c r="H249" s="9">
        <v>-8.9600000000000013E-2</v>
      </c>
      <c r="I249" s="10">
        <f t="shared" si="6"/>
        <v>-3.8462852572343664E-2</v>
      </c>
    </row>
    <row r="250" spans="1:9" x14ac:dyDescent="0.35">
      <c r="A250" s="8">
        <v>35674</v>
      </c>
      <c r="B250" s="9">
        <v>5.79E-2</v>
      </c>
      <c r="C250" s="9">
        <v>8.7400000000000005E-2</v>
      </c>
      <c r="D250" s="9">
        <v>6.2699999999999992E-2</v>
      </c>
      <c r="E250" s="9">
        <v>0.10060000000000001</v>
      </c>
      <c r="F250" s="9">
        <v>7.2099999999999997E-2</v>
      </c>
      <c r="G250" s="9">
        <v>0.14949999999999999</v>
      </c>
      <c r="H250" s="9">
        <v>-1.9099999999999999E-2</v>
      </c>
      <c r="I250" s="10">
        <f t="shared" si="6"/>
        <v>6.4941104360249524E-2</v>
      </c>
    </row>
    <row r="251" spans="1:9" x14ac:dyDescent="0.35">
      <c r="A251" s="8">
        <v>35704</v>
      </c>
      <c r="B251" s="9">
        <v>-3.3799999999999997E-2</v>
      </c>
      <c r="C251" s="9">
        <v>-3.8599999999999995E-2</v>
      </c>
      <c r="D251" s="9">
        <v>-4.3400000000000001E-2</v>
      </c>
      <c r="E251" s="9">
        <v>-6.4399999999999999E-2</v>
      </c>
      <c r="F251" s="9">
        <v>-6.480000000000001E-2</v>
      </c>
      <c r="G251" s="9">
        <v>-5.4600000000000003E-2</v>
      </c>
      <c r="H251" s="9">
        <v>-8.4100000000000008E-2</v>
      </c>
      <c r="I251" s="10">
        <f t="shared" si="6"/>
        <v>-4.144396264841349E-2</v>
      </c>
    </row>
    <row r="252" spans="1:9" x14ac:dyDescent="0.35">
      <c r="A252" s="8">
        <v>35735</v>
      </c>
      <c r="B252" s="9">
        <v>3.3700000000000001E-2</v>
      </c>
      <c r="C252" s="9">
        <v>7.9000000000000008E-3</v>
      </c>
      <c r="D252" s="9">
        <v>-3.5699999999999996E-2</v>
      </c>
      <c r="E252" s="9">
        <v>2.1700000000000001E-2</v>
      </c>
      <c r="F252" s="9">
        <v>2.6099999999999998E-2</v>
      </c>
      <c r="G252" s="9">
        <v>1.7000000000000001E-2</v>
      </c>
      <c r="H252" s="9">
        <v>-6.54E-2</v>
      </c>
      <c r="I252" s="10">
        <f t="shared" si="6"/>
        <v>1.6179528665131115E-2</v>
      </c>
    </row>
    <row r="253" spans="1:9" x14ac:dyDescent="0.35">
      <c r="A253" s="8">
        <v>35765</v>
      </c>
      <c r="B253" s="9">
        <v>1.8000000000000002E-2</v>
      </c>
      <c r="C253" s="9">
        <v>3.2199999999999999E-2</v>
      </c>
      <c r="D253" s="9">
        <v>2.3399999999999997E-2</v>
      </c>
      <c r="E253" s="9">
        <v>3.2300000000000002E-2</v>
      </c>
      <c r="F253" s="9">
        <v>3.3500000000000002E-2</v>
      </c>
      <c r="G253" s="9">
        <v>7.8399999999999997E-2</v>
      </c>
      <c r="H253" s="9">
        <v>-6.6000000000000003E-2</v>
      </c>
      <c r="I253" s="10">
        <f t="shared" si="6"/>
        <v>1.743157423736387E-2</v>
      </c>
    </row>
    <row r="254" spans="1:9" x14ac:dyDescent="0.35">
      <c r="A254" s="8">
        <v>35796</v>
      </c>
      <c r="B254" s="9">
        <v>5.7999999999999996E-3</v>
      </c>
      <c r="C254" s="9">
        <v>4.8000000000000001E-2</v>
      </c>
      <c r="D254" s="9">
        <v>-1.7399999999999999E-2</v>
      </c>
      <c r="E254" s="9">
        <v>4.1299999999999996E-2</v>
      </c>
      <c r="F254" s="9">
        <v>2.76E-2</v>
      </c>
      <c r="G254" s="9">
        <v>0.1116</v>
      </c>
      <c r="H254" s="9">
        <v>9.5899999999999999E-2</v>
      </c>
      <c r="I254" s="10">
        <f t="shared" si="6"/>
        <v>2.9888701669430209E-2</v>
      </c>
    </row>
    <row r="255" spans="1:9" x14ac:dyDescent="0.35">
      <c r="A255" s="8">
        <v>35827</v>
      </c>
      <c r="B255" s="9">
        <v>7.4200000000000002E-2</v>
      </c>
      <c r="C255" s="9">
        <v>7.2300000000000003E-2</v>
      </c>
      <c r="D255" s="9">
        <v>8.7799999999999989E-2</v>
      </c>
      <c r="E255" s="9">
        <v>8.8200000000000001E-2</v>
      </c>
      <c r="F255" s="9">
        <v>6.8699999999999997E-2</v>
      </c>
      <c r="G255" s="9">
        <v>4.7100000000000003E-2</v>
      </c>
      <c r="H255" s="9">
        <v>5.6999999999999993E-3</v>
      </c>
      <c r="I255" s="10">
        <f t="shared" si="6"/>
        <v>6.9018757519222873E-2</v>
      </c>
    </row>
    <row r="256" spans="1:9" x14ac:dyDescent="0.35">
      <c r="A256" s="8">
        <v>35855</v>
      </c>
      <c r="B256" s="9">
        <v>5.1499999999999997E-2</v>
      </c>
      <c r="C256" s="9">
        <v>5.1799999999999999E-2</v>
      </c>
      <c r="D256" s="9">
        <v>7.2700000000000001E-2</v>
      </c>
      <c r="E256" s="9">
        <v>0.10730000000000001</v>
      </c>
      <c r="F256" s="9">
        <v>6.4399999999999999E-2</v>
      </c>
      <c r="G256" s="9">
        <v>0.2122</v>
      </c>
      <c r="H256" s="9">
        <v>-6.7900000000000002E-2</v>
      </c>
      <c r="I256" s="10">
        <f t="shared" si="6"/>
        <v>4.5779806331787597E-2</v>
      </c>
    </row>
    <row r="257" spans="1:9" x14ac:dyDescent="0.35">
      <c r="A257" s="8">
        <v>35886</v>
      </c>
      <c r="B257" s="9">
        <v>1.1599999999999999E-2</v>
      </c>
      <c r="C257" s="9">
        <v>3.0999999999999999E-3</v>
      </c>
      <c r="D257" s="9">
        <v>6.6E-3</v>
      </c>
      <c r="E257" s="9">
        <v>3.6699999999999997E-2</v>
      </c>
      <c r="F257" s="9">
        <v>3.9800000000000002E-2</v>
      </c>
      <c r="G257" s="9">
        <v>-3.2599999999999997E-2</v>
      </c>
      <c r="H257" s="9">
        <v>-8.5000000000000006E-3</v>
      </c>
      <c r="I257" s="10">
        <f t="shared" si="6"/>
        <v>8.7621144627961708E-3</v>
      </c>
    </row>
    <row r="258" spans="1:9" x14ac:dyDescent="0.35">
      <c r="A258" s="8">
        <v>35916</v>
      </c>
      <c r="B258" s="9">
        <v>-2.6699999999999998E-2</v>
      </c>
      <c r="C258" s="9">
        <v>-2.7400000000000001E-2</v>
      </c>
      <c r="D258" s="9">
        <v>-1.2E-2</v>
      </c>
      <c r="E258" s="9">
        <v>5.3800000000000001E-2</v>
      </c>
      <c r="F258" s="9">
        <v>7.4499999999999997E-2</v>
      </c>
      <c r="G258" s="9">
        <v>4.9599999999999998E-2</v>
      </c>
      <c r="H258" s="9">
        <v>-4.8099999999999997E-2</v>
      </c>
      <c r="I258" s="10">
        <f t="shared" ref="I258:I321" si="7">SUMPRODUCT(B258:H258,$M$5:$S$5)</f>
        <v>-2.3061812435656141E-2</v>
      </c>
    </row>
    <row r="259" spans="1:9" x14ac:dyDescent="0.35">
      <c r="A259" s="8">
        <v>35947</v>
      </c>
      <c r="B259" s="9">
        <v>3.5900000000000001E-2</v>
      </c>
      <c r="C259" s="9">
        <v>9.4999999999999998E-3</v>
      </c>
      <c r="D259" s="9">
        <v>-3.5799999999999998E-2</v>
      </c>
      <c r="E259" s="9">
        <v>2.23E-2</v>
      </c>
      <c r="F259" s="9">
        <v>3.3599999999999998E-2</v>
      </c>
      <c r="G259" s="9">
        <v>-5.74E-2</v>
      </c>
      <c r="H259" s="9">
        <v>6.8999999999999999E-3</v>
      </c>
      <c r="I259" s="10">
        <f t="shared" si="7"/>
        <v>2.3550868820847962E-2</v>
      </c>
    </row>
    <row r="260" spans="1:9" x14ac:dyDescent="0.35">
      <c r="A260" s="8">
        <v>35977</v>
      </c>
      <c r="B260" s="9">
        <v>-2.06E-2</v>
      </c>
      <c r="C260" s="9">
        <v>-1.7000000000000001E-2</v>
      </c>
      <c r="D260" s="9">
        <v>-7.4099999999999999E-2</v>
      </c>
      <c r="E260" s="9">
        <v>7.0999999999999995E-3</v>
      </c>
      <c r="F260" s="9">
        <v>1.7600000000000001E-2</v>
      </c>
      <c r="G260" s="9">
        <v>9.7500000000000003E-2</v>
      </c>
      <c r="H260" s="9">
        <v>-1.0200000000000001E-2</v>
      </c>
      <c r="I260" s="10">
        <f t="shared" si="7"/>
        <v>-1.6597675511630026E-2</v>
      </c>
    </row>
    <row r="261" spans="1:9" x14ac:dyDescent="0.35">
      <c r="A261" s="8">
        <v>36008</v>
      </c>
      <c r="B261" s="9">
        <v>-0.15649999999999997</v>
      </c>
      <c r="C261" s="9">
        <v>-8.3000000000000004E-2</v>
      </c>
      <c r="D261" s="9">
        <v>-0.21609999999999999</v>
      </c>
      <c r="E261" s="9">
        <v>-0.11119999999999999</v>
      </c>
      <c r="F261" s="9">
        <v>-0.15479999999999999</v>
      </c>
      <c r="G261" s="9">
        <v>-0.13970000000000002</v>
      </c>
      <c r="H261" s="9">
        <v>-0.1072</v>
      </c>
      <c r="I261" s="10">
        <f t="shared" si="7"/>
        <v>-0.12414540101866053</v>
      </c>
    </row>
    <row r="262" spans="1:9" x14ac:dyDescent="0.35">
      <c r="A262" s="8">
        <v>36039</v>
      </c>
      <c r="B262" s="9">
        <v>6.6100000000000006E-2</v>
      </c>
      <c r="C262" s="9">
        <v>-1.4800000000000001E-2</v>
      </c>
      <c r="D262" s="9">
        <v>3.6499999999999998E-2</v>
      </c>
      <c r="E262" s="9">
        <v>-6.54E-2</v>
      </c>
      <c r="F262" s="9">
        <v>-1.1299999999999999E-2</v>
      </c>
      <c r="G262" s="9">
        <v>-5.0799999999999998E-2</v>
      </c>
      <c r="H262" s="9">
        <v>-2.0499999999999997E-2</v>
      </c>
      <c r="I262" s="10">
        <f t="shared" si="7"/>
        <v>2.254503716900073E-2</v>
      </c>
    </row>
    <row r="263" spans="1:9" x14ac:dyDescent="0.35">
      <c r="A263" s="8">
        <v>36069</v>
      </c>
      <c r="B263" s="9">
        <v>7.4499999999999997E-2</v>
      </c>
      <c r="C263" s="9">
        <v>5.9000000000000004E-2</v>
      </c>
      <c r="D263" s="9">
        <v>9.1400000000000009E-2</v>
      </c>
      <c r="E263" s="9">
        <v>0.1045</v>
      </c>
      <c r="F263" s="9">
        <v>3.9399999999999998E-2</v>
      </c>
      <c r="G263" s="9">
        <v>6.2699999999999992E-2</v>
      </c>
      <c r="H263" s="9">
        <v>0.16739999999999999</v>
      </c>
      <c r="I263" s="10">
        <f t="shared" si="7"/>
        <v>7.7825979789005753E-2</v>
      </c>
    </row>
    <row r="264" spans="1:9" x14ac:dyDescent="0.35">
      <c r="A264" s="8">
        <v>36100</v>
      </c>
      <c r="B264" s="9">
        <v>6.409999999999999E-2</v>
      </c>
      <c r="C264" s="9">
        <v>3.7499999999999999E-2</v>
      </c>
      <c r="D264" s="9">
        <v>3.8900000000000004E-2</v>
      </c>
      <c r="E264" s="9">
        <v>6.54E-2</v>
      </c>
      <c r="F264" s="9">
        <v>4.58E-2</v>
      </c>
      <c r="G264" s="9">
        <v>0.10980000000000001</v>
      </c>
      <c r="H264" s="9">
        <v>4.2300000000000004E-2</v>
      </c>
      <c r="I264" s="10">
        <f t="shared" si="7"/>
        <v>5.3022091759387643E-2</v>
      </c>
    </row>
    <row r="265" spans="1:9" x14ac:dyDescent="0.35">
      <c r="A265" s="8">
        <v>36130</v>
      </c>
      <c r="B265" s="9">
        <v>6.54E-2</v>
      </c>
      <c r="C265" s="9">
        <v>3.1E-2</v>
      </c>
      <c r="D265" s="9">
        <v>1.3899999999999999E-2</v>
      </c>
      <c r="E265" s="9">
        <v>4.1700000000000001E-2</v>
      </c>
      <c r="F265" s="9">
        <v>2.53E-2</v>
      </c>
      <c r="G265" s="9">
        <v>7.5300000000000006E-2</v>
      </c>
      <c r="H265" s="9">
        <v>3.5499999999999997E-2</v>
      </c>
      <c r="I265" s="10">
        <f t="shared" si="7"/>
        <v>4.9301487584977266E-2</v>
      </c>
    </row>
    <row r="266" spans="1:9" x14ac:dyDescent="0.35">
      <c r="A266" s="8">
        <v>36161</v>
      </c>
      <c r="B266" s="9">
        <v>3.85E-2</v>
      </c>
      <c r="C266" s="9">
        <v>-1.9E-3</v>
      </c>
      <c r="D266" s="9">
        <v>7.3099999999999998E-2</v>
      </c>
      <c r="E266" s="9">
        <v>3.4799999999999998E-2</v>
      </c>
      <c r="F266" s="9">
        <v>3.5999999999999999E-3</v>
      </c>
      <c r="G266" s="9">
        <v>-4.36E-2</v>
      </c>
      <c r="H266" s="9">
        <v>7.3000000000000001E-3</v>
      </c>
      <c r="I266" s="10">
        <f t="shared" si="7"/>
        <v>2.1432473041166931E-2</v>
      </c>
    </row>
    <row r="267" spans="1:9" x14ac:dyDescent="0.35">
      <c r="A267" s="8">
        <v>36192</v>
      </c>
      <c r="B267" s="9">
        <v>-3.73E-2</v>
      </c>
      <c r="C267" s="9">
        <v>2.6200000000000001E-2</v>
      </c>
      <c r="D267" s="9">
        <v>-6.0999999999999999E-2</v>
      </c>
      <c r="E267" s="9">
        <v>-6.9000000000000006E-2</v>
      </c>
      <c r="F267" s="9">
        <v>-6.88E-2</v>
      </c>
      <c r="G267" s="9">
        <v>-1.55E-2</v>
      </c>
      <c r="H267" s="9">
        <v>-2.8199999999999999E-2</v>
      </c>
      <c r="I267" s="10">
        <f t="shared" si="7"/>
        <v>-1.6432576146830725E-2</v>
      </c>
    </row>
    <row r="268" spans="1:9" x14ac:dyDescent="0.35">
      <c r="A268" s="8">
        <v>36220</v>
      </c>
      <c r="B268" s="9">
        <v>3.8800000000000001E-2</v>
      </c>
      <c r="C268" s="9">
        <v>2.4500000000000001E-2</v>
      </c>
      <c r="D268" s="9">
        <v>5.6600000000000004E-2</v>
      </c>
      <c r="E268" s="9">
        <v>1.8700000000000001E-2</v>
      </c>
      <c r="F268" s="9">
        <v>-2.46E-2</v>
      </c>
      <c r="G268" s="9">
        <v>3.6400000000000002E-2</v>
      </c>
      <c r="H268" s="9">
        <v>0.1464</v>
      </c>
      <c r="I268" s="10">
        <f t="shared" si="7"/>
        <v>4.0480578636632451E-2</v>
      </c>
    </row>
    <row r="269" spans="1:9" x14ac:dyDescent="0.35">
      <c r="A269" s="8">
        <v>36251</v>
      </c>
      <c r="B269" s="9">
        <v>4.7E-2</v>
      </c>
      <c r="C269" s="9">
        <v>4.7899999999999998E-2</v>
      </c>
      <c r="D269" s="9">
        <v>0.1045</v>
      </c>
      <c r="E269" s="9">
        <v>3.1200000000000002E-2</v>
      </c>
      <c r="F269" s="9">
        <v>5.5999999999999994E-2</v>
      </c>
      <c r="G269" s="9">
        <v>-2.3399999999999997E-2</v>
      </c>
      <c r="H269" s="9">
        <v>4.9299999999999997E-2</v>
      </c>
      <c r="I269" s="10">
        <f t="shared" si="7"/>
        <v>4.6608619345637488E-2</v>
      </c>
    </row>
    <row r="270" spans="1:9" x14ac:dyDescent="0.35">
      <c r="A270" s="8">
        <v>36281</v>
      </c>
      <c r="B270" s="9">
        <v>-2.12E-2</v>
      </c>
      <c r="C270" s="9">
        <v>-5.3899999999999997E-2</v>
      </c>
      <c r="D270" s="9">
        <v>-2.6099999999999998E-2</v>
      </c>
      <c r="E270" s="9">
        <v>-1.43E-2</v>
      </c>
      <c r="F270" s="9">
        <v>-5.4299999999999994E-2</v>
      </c>
      <c r="G270" s="9">
        <v>-4.1500000000000002E-2</v>
      </c>
      <c r="H270" s="9">
        <v>-4.41E-2</v>
      </c>
      <c r="I270" s="10">
        <f t="shared" si="7"/>
        <v>-3.4271677701856254E-2</v>
      </c>
    </row>
    <row r="271" spans="1:9" x14ac:dyDescent="0.35">
      <c r="A271" s="8">
        <v>36312</v>
      </c>
      <c r="B271" s="9">
        <v>5.1699999999999996E-2</v>
      </c>
      <c r="C271" s="9">
        <v>4.7999999999999996E-3</v>
      </c>
      <c r="D271" s="9">
        <v>2.76E-2</v>
      </c>
      <c r="E271" s="9">
        <v>2.9300000000000003E-2</v>
      </c>
      <c r="F271" s="9">
        <v>4.5999999999999999E-2</v>
      </c>
      <c r="G271" s="9">
        <v>-2.1099999999999997E-2</v>
      </c>
      <c r="H271" s="9">
        <v>9.6199999999999994E-2</v>
      </c>
      <c r="I271" s="10">
        <f t="shared" si="7"/>
        <v>3.7308511897303852E-2</v>
      </c>
    </row>
    <row r="272" spans="1:9" x14ac:dyDescent="0.35">
      <c r="A272" s="8">
        <v>36342</v>
      </c>
      <c r="B272" s="9">
        <v>-3.0900000000000004E-2</v>
      </c>
      <c r="C272" s="9">
        <v>1.46E-2</v>
      </c>
      <c r="D272" s="9">
        <v>6.7000000000000002E-3</v>
      </c>
      <c r="E272" s="9">
        <v>1.1399999999999999E-2</v>
      </c>
      <c r="F272" s="9">
        <v>-2.8000000000000004E-3</v>
      </c>
      <c r="G272" s="9">
        <v>-2.4E-2</v>
      </c>
      <c r="H272" s="9">
        <v>0.10349999999999999</v>
      </c>
      <c r="I272" s="10">
        <f t="shared" si="7"/>
        <v>-1.7621758288303528E-3</v>
      </c>
    </row>
    <row r="273" spans="1:9" x14ac:dyDescent="0.35">
      <c r="A273" s="8">
        <v>36373</v>
      </c>
      <c r="B273" s="9">
        <v>-9.8999999999999991E-3</v>
      </c>
      <c r="C273" s="9">
        <v>-1.4000000000000002E-3</v>
      </c>
      <c r="D273" s="9">
        <v>-9.1999999999999998E-3</v>
      </c>
      <c r="E273" s="9">
        <v>3.5699999999999996E-2</v>
      </c>
      <c r="F273" s="9">
        <v>1.8799999999999997E-2</v>
      </c>
      <c r="G273" s="9">
        <v>1.8600000000000002E-2</v>
      </c>
      <c r="H273" s="9">
        <v>2.3799999999999998E-2</v>
      </c>
      <c r="I273" s="10">
        <f t="shared" si="7"/>
        <v>-1.3611629110939648E-3</v>
      </c>
    </row>
    <row r="274" spans="1:9" x14ac:dyDescent="0.35">
      <c r="A274" s="8">
        <v>36404</v>
      </c>
      <c r="B274" s="9">
        <v>-2.4199999999999999E-2</v>
      </c>
      <c r="C274" s="9">
        <v>-0.02</v>
      </c>
      <c r="D274" s="9">
        <v>2.0799999999999999E-2</v>
      </c>
      <c r="E274" s="9">
        <v>1.78E-2</v>
      </c>
      <c r="F274" s="9">
        <v>-1.04E-2</v>
      </c>
      <c r="G274" s="9">
        <v>1.7399999999999999E-2</v>
      </c>
      <c r="H274" s="9">
        <v>6.7699999999999996E-2</v>
      </c>
      <c r="I274" s="10">
        <f t="shared" si="7"/>
        <v>-1.2973863553116739E-2</v>
      </c>
    </row>
    <row r="275" spans="1:9" x14ac:dyDescent="0.35">
      <c r="A275" s="8">
        <v>36434</v>
      </c>
      <c r="B275" s="9">
        <v>6.5199999999999994E-2</v>
      </c>
      <c r="C275" s="9">
        <v>2.4900000000000002E-2</v>
      </c>
      <c r="D275" s="9">
        <v>5.7099999999999998E-2</v>
      </c>
      <c r="E275" s="9">
        <v>4.3899999999999995E-2</v>
      </c>
      <c r="F275" s="9">
        <v>4.6900000000000004E-2</v>
      </c>
      <c r="G275" s="9">
        <v>-2.7999999999999997E-2</v>
      </c>
      <c r="H275" s="9">
        <v>6.8900000000000003E-2</v>
      </c>
      <c r="I275" s="10">
        <f t="shared" si="7"/>
        <v>4.9935802968243813E-2</v>
      </c>
    </row>
    <row r="276" spans="1:9" x14ac:dyDescent="0.35">
      <c r="A276" s="8">
        <v>36465</v>
      </c>
      <c r="B276" s="9">
        <v>3.73E-2</v>
      </c>
      <c r="C276" s="9">
        <v>2.2499999999999999E-2</v>
      </c>
      <c r="D276" s="9">
        <v>3.8900000000000004E-2</v>
      </c>
      <c r="E276" s="9">
        <v>5.4400000000000004E-2</v>
      </c>
      <c r="F276" s="9">
        <v>1.5100000000000001E-2</v>
      </c>
      <c r="G276" s="9">
        <v>3.7100000000000001E-2</v>
      </c>
      <c r="H276" s="9">
        <v>7.6299999999999993E-2</v>
      </c>
      <c r="I276" s="10">
        <f t="shared" si="7"/>
        <v>3.6003974964783893E-2</v>
      </c>
    </row>
    <row r="277" spans="1:9" x14ac:dyDescent="0.35">
      <c r="A277" s="8">
        <v>36495</v>
      </c>
      <c r="B277" s="9">
        <v>8.1600000000000006E-2</v>
      </c>
      <c r="C277" s="9">
        <v>6.5700000000000008E-2</v>
      </c>
      <c r="D277" s="9">
        <v>0.14050000000000001</v>
      </c>
      <c r="E277" s="9">
        <v>0.14460000000000001</v>
      </c>
      <c r="F277" s="9">
        <v>0.16789999999999999</v>
      </c>
      <c r="G277" s="9">
        <v>0.20440000000000003</v>
      </c>
      <c r="H277" s="9">
        <v>5.0799999999999998E-2</v>
      </c>
      <c r="I277" s="10">
        <f t="shared" si="7"/>
        <v>7.8018428391022104E-2</v>
      </c>
    </row>
    <row r="278" spans="1:9" x14ac:dyDescent="0.35">
      <c r="A278" s="8">
        <v>36526</v>
      </c>
      <c r="B278" s="9">
        <v>-4.3299999999999998E-2</v>
      </c>
      <c r="C278" s="9">
        <v>-8.3599999999999994E-2</v>
      </c>
      <c r="D278" s="9">
        <v>-4.5999999999999999E-3</v>
      </c>
      <c r="E278" s="9">
        <v>-6.9000000000000006E-2</v>
      </c>
      <c r="F278" s="9">
        <v>-4.0999999999999995E-2</v>
      </c>
      <c r="G278" s="9">
        <v>-5.1500000000000004E-2</v>
      </c>
      <c r="H278" s="9">
        <v>-5.5300000000000002E-2</v>
      </c>
      <c r="I278" s="10">
        <f t="shared" si="7"/>
        <v>-5.9902451734254417E-2</v>
      </c>
    </row>
    <row r="279" spans="1:9" x14ac:dyDescent="0.35">
      <c r="A279" s="8">
        <v>36557</v>
      </c>
      <c r="B279" s="9">
        <v>2.8800000000000003E-2</v>
      </c>
      <c r="C279" s="9">
        <v>-1.9900000000000001E-2</v>
      </c>
      <c r="D279" s="9">
        <v>5.2199999999999996E-2</v>
      </c>
      <c r="E279" s="9">
        <v>7.5999999999999998E-2</v>
      </c>
      <c r="F279" s="9">
        <v>9.69E-2</v>
      </c>
      <c r="G279" s="9">
        <v>0.1704</v>
      </c>
      <c r="H279" s="9">
        <v>-2.2700000000000001E-2</v>
      </c>
      <c r="I279" s="10">
        <f t="shared" si="7"/>
        <v>1.1023649951601643E-2</v>
      </c>
    </row>
    <row r="280" spans="1:9" x14ac:dyDescent="0.35">
      <c r="A280" s="8">
        <v>36586</v>
      </c>
      <c r="B280" s="9">
        <v>5.67E-2</v>
      </c>
      <c r="C280" s="9">
        <v>6.6600000000000006E-2</v>
      </c>
      <c r="D280" s="9">
        <v>7.1900000000000006E-2</v>
      </c>
      <c r="E280" s="9">
        <v>1.0200000000000001E-2</v>
      </c>
      <c r="F280" s="9">
        <v>-5.3E-3</v>
      </c>
      <c r="G280" s="9">
        <v>-7.22E-2</v>
      </c>
      <c r="H280" s="9">
        <v>7.8700000000000006E-2</v>
      </c>
      <c r="I280" s="10">
        <f t="shared" si="7"/>
        <v>5.8654272235286985E-2</v>
      </c>
    </row>
    <row r="281" spans="1:9" x14ac:dyDescent="0.35">
      <c r="A281" s="8">
        <v>36617</v>
      </c>
      <c r="B281" s="9">
        <v>-5.9400000000000001E-2</v>
      </c>
      <c r="C281" s="9">
        <v>-3.9599999999999996E-2</v>
      </c>
      <c r="D281" s="9">
        <v>-2.76E-2</v>
      </c>
      <c r="E281" s="9">
        <v>-3.1800000000000002E-2</v>
      </c>
      <c r="F281" s="9">
        <v>-8.2100000000000006E-2</v>
      </c>
      <c r="G281" s="9">
        <v>-6.4399999999999999E-2</v>
      </c>
      <c r="H281" s="9">
        <v>-8.0199999999999994E-2</v>
      </c>
      <c r="I281" s="10">
        <f t="shared" si="7"/>
        <v>-5.2567063175766322E-2</v>
      </c>
    </row>
    <row r="282" spans="1:9" x14ac:dyDescent="0.35">
      <c r="A282" s="8">
        <v>36647</v>
      </c>
      <c r="B282" s="9">
        <v>-3.9199999999999999E-2</v>
      </c>
      <c r="C282" s="9">
        <v>-3.78E-2</v>
      </c>
      <c r="D282" s="9">
        <v>-2.9500000000000002E-2</v>
      </c>
      <c r="E282" s="9">
        <v>1.78E-2</v>
      </c>
      <c r="F282" s="9">
        <v>-2.2700000000000001E-2</v>
      </c>
      <c r="G282" s="9">
        <v>2.8399999999999998E-2</v>
      </c>
      <c r="H282" s="9">
        <v>-7.0900000000000005E-2</v>
      </c>
      <c r="I282" s="10">
        <f t="shared" si="7"/>
        <v>-3.7629961767161844E-2</v>
      </c>
    </row>
    <row r="283" spans="1:9" x14ac:dyDescent="0.35">
      <c r="A283" s="8">
        <v>36678</v>
      </c>
      <c r="B283" s="9">
        <v>5.04E-2</v>
      </c>
      <c r="C283" s="9">
        <v>1.9199999999999998E-2</v>
      </c>
      <c r="D283" s="9">
        <v>0.1</v>
      </c>
      <c r="E283" s="9">
        <v>3.6900000000000002E-2</v>
      </c>
      <c r="F283" s="9">
        <v>2.3E-3</v>
      </c>
      <c r="G283" s="9">
        <v>5.6799999999999996E-2</v>
      </c>
      <c r="H283" s="9">
        <v>6.7299999999999999E-2</v>
      </c>
      <c r="I283" s="10">
        <f t="shared" si="7"/>
        <v>3.9613400858632658E-2</v>
      </c>
    </row>
    <row r="284" spans="1:9" x14ac:dyDescent="0.35">
      <c r="A284" s="8">
        <v>36708</v>
      </c>
      <c r="B284" s="9">
        <v>-2.0299999999999999E-2</v>
      </c>
      <c r="C284" s="9">
        <v>-1E-4</v>
      </c>
      <c r="D284" s="9">
        <v>1.5900000000000001E-2</v>
      </c>
      <c r="E284" s="9">
        <v>-1.9099999999999999E-2</v>
      </c>
      <c r="F284" s="9">
        <v>1E-3</v>
      </c>
      <c r="G284" s="9">
        <v>-3.5499999999999997E-2</v>
      </c>
      <c r="H284" s="9">
        <v>-0.11259999999999999</v>
      </c>
      <c r="I284" s="10">
        <f t="shared" si="7"/>
        <v>-2.0152925164693414E-2</v>
      </c>
    </row>
    <row r="285" spans="1:9" x14ac:dyDescent="0.35">
      <c r="A285" s="8">
        <v>36739</v>
      </c>
      <c r="B285" s="9">
        <v>7.5300000000000006E-2</v>
      </c>
      <c r="C285" s="9">
        <v>1.9E-2</v>
      </c>
      <c r="D285" s="9">
        <v>6.7299999999999999E-2</v>
      </c>
      <c r="E285" s="9">
        <v>-2.2400000000000003E-2</v>
      </c>
      <c r="F285" s="9">
        <v>-3.85E-2</v>
      </c>
      <c r="G285" s="9">
        <v>-4.6999999999999993E-3</v>
      </c>
      <c r="H285" s="9">
        <v>6.3600000000000004E-2</v>
      </c>
      <c r="I285" s="10">
        <f t="shared" si="7"/>
        <v>4.7966571435650238E-2</v>
      </c>
    </row>
    <row r="286" spans="1:9" x14ac:dyDescent="0.35">
      <c r="A286" s="8">
        <v>36770</v>
      </c>
      <c r="B286" s="9">
        <v>-4.9400000000000006E-2</v>
      </c>
      <c r="C286" s="9">
        <v>-3.3000000000000002E-2</v>
      </c>
      <c r="D286" s="9">
        <v>-7.8799999999999995E-2</v>
      </c>
      <c r="E286" s="9">
        <v>-6.1399999999999996E-2</v>
      </c>
      <c r="F286" s="9">
        <v>-4.4699999999999997E-2</v>
      </c>
      <c r="G286" s="9">
        <v>-5.6500000000000002E-2</v>
      </c>
      <c r="H286" s="9">
        <v>-4.2900000000000001E-2</v>
      </c>
      <c r="I286" s="10">
        <f t="shared" si="7"/>
        <v>-4.3827459074483072E-2</v>
      </c>
    </row>
    <row r="287" spans="1:9" x14ac:dyDescent="0.35">
      <c r="A287" s="8">
        <v>36800</v>
      </c>
      <c r="B287" s="9">
        <v>-2.1999999999999999E-2</v>
      </c>
      <c r="C287" s="9">
        <v>-7.000000000000001E-4</v>
      </c>
      <c r="D287" s="9">
        <v>-6.2800000000000009E-2</v>
      </c>
      <c r="E287" s="9">
        <v>-2.1499999999999998E-2</v>
      </c>
      <c r="F287" s="9">
        <v>3.0999999999999999E-3</v>
      </c>
      <c r="G287" s="9">
        <v>1.03E-2</v>
      </c>
      <c r="H287" s="9">
        <v>-6.7699999999999996E-2</v>
      </c>
      <c r="I287" s="10">
        <f t="shared" si="7"/>
        <v>-1.7865379980932902E-2</v>
      </c>
    </row>
    <row r="288" spans="1:9" x14ac:dyDescent="0.35">
      <c r="A288" s="8">
        <v>36831</v>
      </c>
      <c r="B288" s="9">
        <v>-0.10210000000000001</v>
      </c>
      <c r="C288" s="9">
        <v>-4.99E-2</v>
      </c>
      <c r="D288" s="9">
        <v>-5.74E-2</v>
      </c>
      <c r="E288" s="9">
        <v>-3.8900000000000004E-2</v>
      </c>
      <c r="F288" s="9">
        <v>-7.0599999999999996E-2</v>
      </c>
      <c r="G288" s="9">
        <v>1.32E-2</v>
      </c>
      <c r="H288" s="9">
        <v>-2.6800000000000001E-2</v>
      </c>
      <c r="I288" s="10">
        <f t="shared" si="7"/>
        <v>-7.3918719142108624E-2</v>
      </c>
    </row>
    <row r="289" spans="1:9" x14ac:dyDescent="0.35">
      <c r="A289" s="8">
        <v>36861</v>
      </c>
      <c r="B289" s="9">
        <v>1.6899999999999998E-2</v>
      </c>
      <c r="C289" s="9">
        <v>6.9699999999999998E-2</v>
      </c>
      <c r="D289" s="9">
        <v>3.4599999999999999E-2</v>
      </c>
      <c r="E289" s="9">
        <v>8.2599999999999993E-2</v>
      </c>
      <c r="F289" s="9">
        <v>9.1300000000000006E-2</v>
      </c>
      <c r="G289" s="9">
        <v>1.6899999999999998E-2</v>
      </c>
      <c r="H289" s="9">
        <v>-8.6099999999999996E-2</v>
      </c>
      <c r="I289" s="10">
        <f t="shared" si="7"/>
        <v>3.1904276590061155E-2</v>
      </c>
    </row>
    <row r="290" spans="1:9" x14ac:dyDescent="0.35">
      <c r="A290" s="8">
        <v>36892</v>
      </c>
      <c r="B290" s="9">
        <v>3.6699999999999997E-2</v>
      </c>
      <c r="C290" s="9">
        <v>-7.0999999999999995E-3</v>
      </c>
      <c r="D290" s="9">
        <v>3.6799999999999999E-2</v>
      </c>
      <c r="E290" s="9">
        <v>5.1999999999999998E-3</v>
      </c>
      <c r="F290" s="9">
        <v>3.6699999999999997E-2</v>
      </c>
      <c r="G290" s="9">
        <v>2.4E-2</v>
      </c>
      <c r="H290" s="9">
        <v>-3.4000000000000002E-3</v>
      </c>
      <c r="I290" s="10">
        <f t="shared" si="7"/>
        <v>1.6323725347290163E-2</v>
      </c>
    </row>
    <row r="291" spans="1:9" x14ac:dyDescent="0.35">
      <c r="A291" s="8">
        <v>36923</v>
      </c>
      <c r="B291" s="9">
        <v>-9.6699999999999994E-2</v>
      </c>
      <c r="C291" s="9">
        <v>-6.3500000000000001E-2</v>
      </c>
      <c r="D291" s="9">
        <v>-0.13289999999999999</v>
      </c>
      <c r="E291" s="9">
        <v>-0.10460000000000001</v>
      </c>
      <c r="F291" s="9">
        <v>-8.48E-2</v>
      </c>
      <c r="G291" s="9">
        <v>-0.10800000000000001</v>
      </c>
      <c r="H291" s="9">
        <v>-5.4900000000000004E-2</v>
      </c>
      <c r="I291" s="10">
        <f t="shared" si="7"/>
        <v>-8.2194742446005747E-2</v>
      </c>
    </row>
    <row r="292" spans="1:9" x14ac:dyDescent="0.35">
      <c r="A292" s="8">
        <v>36951</v>
      </c>
      <c r="B292" s="9">
        <v>-6.8400000000000002E-2</v>
      </c>
      <c r="C292" s="9">
        <v>-6.0299999999999999E-2</v>
      </c>
      <c r="D292" s="9">
        <v>-7.9899999999999999E-2</v>
      </c>
      <c r="E292" s="9">
        <v>-7.17E-2</v>
      </c>
      <c r="F292" s="9">
        <v>-9.8599999999999993E-2</v>
      </c>
      <c r="G292" s="9">
        <v>-6.9599999999999995E-2</v>
      </c>
      <c r="H292" s="9">
        <v>-3.49E-2</v>
      </c>
      <c r="I292" s="10">
        <f t="shared" si="7"/>
        <v>-6.3367227249585684E-2</v>
      </c>
    </row>
    <row r="293" spans="1:9" x14ac:dyDescent="0.35">
      <c r="A293" s="8">
        <v>36982</v>
      </c>
      <c r="B293" s="9">
        <v>8.3299999999999999E-2</v>
      </c>
      <c r="C293" s="9">
        <v>6.6699999999999995E-2</v>
      </c>
      <c r="D293" s="9">
        <v>6.88E-2</v>
      </c>
      <c r="E293" s="9">
        <v>8.9600000000000013E-2</v>
      </c>
      <c r="F293" s="9">
        <v>6.7599999999999993E-2</v>
      </c>
      <c r="G293" s="9">
        <v>5.3800000000000001E-2</v>
      </c>
      <c r="H293" s="9">
        <v>8.5900000000000004E-2</v>
      </c>
      <c r="I293" s="10">
        <f t="shared" si="7"/>
        <v>7.7944042899049298E-2</v>
      </c>
    </row>
    <row r="294" spans="1:9" x14ac:dyDescent="0.35">
      <c r="A294" s="8">
        <v>37012</v>
      </c>
      <c r="B294" s="9">
        <v>1.04E-2</v>
      </c>
      <c r="C294" s="9">
        <v>-2.7200000000000002E-2</v>
      </c>
      <c r="D294" s="9">
        <v>1.8799999999999997E-2</v>
      </c>
      <c r="E294" s="9">
        <v>-6.5700000000000008E-2</v>
      </c>
      <c r="F294" s="9">
        <v>-6.7000000000000004E-2</v>
      </c>
      <c r="G294" s="9">
        <v>-8.5900000000000004E-2</v>
      </c>
      <c r="H294" s="9">
        <v>-3.8E-3</v>
      </c>
      <c r="I294" s="10">
        <f t="shared" si="7"/>
        <v>-9.0118154737899962E-3</v>
      </c>
    </row>
    <row r="295" spans="1:9" x14ac:dyDescent="0.35">
      <c r="A295" s="8">
        <v>37043</v>
      </c>
      <c r="B295" s="9">
        <v>-1.66E-2</v>
      </c>
      <c r="C295" s="9">
        <v>-3.3700000000000001E-2</v>
      </c>
      <c r="D295" s="9">
        <v>-2.4700000000000003E-2</v>
      </c>
      <c r="E295" s="9">
        <v>-4.6100000000000002E-2</v>
      </c>
      <c r="F295" s="9">
        <v>-1.4800000000000001E-2</v>
      </c>
      <c r="G295" s="9">
        <v>-4.8300000000000003E-2</v>
      </c>
      <c r="H295" s="9">
        <v>-5.7000000000000002E-2</v>
      </c>
      <c r="I295" s="10">
        <f t="shared" si="7"/>
        <v>-2.7496158536936457E-2</v>
      </c>
    </row>
    <row r="296" spans="1:9" x14ac:dyDescent="0.35">
      <c r="A296" s="8">
        <v>37073</v>
      </c>
      <c r="B296" s="9">
        <v>-1.8299999999999997E-2</v>
      </c>
      <c r="C296" s="9">
        <v>-2.8000000000000004E-3</v>
      </c>
      <c r="D296" s="9">
        <v>-9.3999999999999986E-3</v>
      </c>
      <c r="E296" s="9">
        <v>1.11E-2</v>
      </c>
      <c r="F296" s="9">
        <v>6.0999999999999995E-3</v>
      </c>
      <c r="G296" s="9">
        <v>2.06E-2</v>
      </c>
      <c r="H296" s="9">
        <v>-8.5000000000000006E-2</v>
      </c>
      <c r="I296" s="10">
        <f t="shared" si="7"/>
        <v>-1.6100105807074171E-2</v>
      </c>
    </row>
    <row r="297" spans="1:9" x14ac:dyDescent="0.35">
      <c r="A297" s="8">
        <v>37104</v>
      </c>
      <c r="B297" s="9">
        <v>-6.1500000000000006E-2</v>
      </c>
      <c r="C297" s="9">
        <v>-8.8000000000000005E-3</v>
      </c>
      <c r="D297" s="9">
        <v>-4.58E-2</v>
      </c>
      <c r="E297" s="9">
        <v>-3.4300000000000004E-2</v>
      </c>
      <c r="F297" s="9">
        <v>-6.2899999999999998E-2</v>
      </c>
      <c r="G297" s="9">
        <v>-1.3999999999999999E-2</v>
      </c>
      <c r="H297" s="9">
        <v>-3.0800000000000001E-2</v>
      </c>
      <c r="I297" s="10">
        <f t="shared" si="7"/>
        <v>-3.8997829616844809E-2</v>
      </c>
    </row>
    <row r="298" spans="1:9" x14ac:dyDescent="0.35">
      <c r="A298" s="8">
        <v>37135</v>
      </c>
      <c r="B298" s="9">
        <v>-8.9700000000000002E-2</v>
      </c>
      <c r="C298" s="9">
        <v>-7.5700000000000003E-2</v>
      </c>
      <c r="D298" s="9">
        <v>-8.8399999999999992E-2</v>
      </c>
      <c r="E298" s="9">
        <v>-0.1343</v>
      </c>
      <c r="F298" s="9">
        <v>-0.15859999999999999</v>
      </c>
      <c r="G298" s="9">
        <v>-0.1517</v>
      </c>
      <c r="H298" s="9">
        <v>-7.2800000000000004E-2</v>
      </c>
      <c r="I298" s="10">
        <f t="shared" si="7"/>
        <v>-8.6636934904371257E-2</v>
      </c>
    </row>
    <row r="299" spans="1:9" x14ac:dyDescent="0.35">
      <c r="A299" s="8">
        <v>37165</v>
      </c>
      <c r="B299" s="9">
        <v>2.6800000000000001E-2</v>
      </c>
      <c r="C299" s="9">
        <v>2.1299999999999999E-2</v>
      </c>
      <c r="D299" s="9">
        <v>-3.3E-3</v>
      </c>
      <c r="E299" s="9">
        <v>5.6399999999999999E-2</v>
      </c>
      <c r="F299" s="9">
        <v>5.6600000000000004E-2</v>
      </c>
      <c r="G299" s="9">
        <v>4.0899999999999999E-2</v>
      </c>
      <c r="H299" s="9">
        <v>5.4000000000000003E-3</v>
      </c>
      <c r="I299" s="10">
        <f t="shared" si="7"/>
        <v>2.5195585944618983E-2</v>
      </c>
    </row>
    <row r="300" spans="1:9" x14ac:dyDescent="0.35">
      <c r="A300" s="8">
        <v>37196</v>
      </c>
      <c r="B300" s="9">
        <v>7.7100000000000002E-2</v>
      </c>
      <c r="C300" s="9">
        <v>2.0199999999999999E-2</v>
      </c>
      <c r="D300" s="9">
        <v>8.929999999999999E-2</v>
      </c>
      <c r="E300" s="9">
        <v>3.4599999999999999E-2</v>
      </c>
      <c r="F300" s="9">
        <v>8.6500000000000007E-2</v>
      </c>
      <c r="G300" s="9">
        <v>3.7599999999999995E-2</v>
      </c>
      <c r="H300" s="9">
        <v>3.0000000000000001E-3</v>
      </c>
      <c r="I300" s="10">
        <f t="shared" si="7"/>
        <v>4.8892551106293453E-2</v>
      </c>
    </row>
    <row r="301" spans="1:9" x14ac:dyDescent="0.35">
      <c r="A301" s="8">
        <v>37226</v>
      </c>
      <c r="B301" s="9">
        <v>1.7600000000000001E-2</v>
      </c>
      <c r="C301" s="9">
        <v>2.6200000000000001E-2</v>
      </c>
      <c r="D301" s="9">
        <v>2.1299999999999999E-2</v>
      </c>
      <c r="E301" s="9">
        <v>2.9100000000000001E-2</v>
      </c>
      <c r="F301" s="9">
        <v>2.1899999999999999E-2</v>
      </c>
      <c r="G301" s="9">
        <v>1.18E-2</v>
      </c>
      <c r="H301" s="9">
        <v>-8.1699999999999995E-2</v>
      </c>
      <c r="I301" s="10">
        <f t="shared" si="7"/>
        <v>1.3631926324976652E-2</v>
      </c>
    </row>
    <row r="302" spans="1:9" x14ac:dyDescent="0.35">
      <c r="A302" s="8">
        <v>37257</v>
      </c>
      <c r="B302" s="9">
        <v>-1.2999999999999998E-2</v>
      </c>
      <c r="C302" s="9">
        <v>-3.9100000000000003E-2</v>
      </c>
      <c r="D302" s="9">
        <v>-5.1000000000000004E-3</v>
      </c>
      <c r="E302" s="9">
        <v>-6.1200000000000004E-2</v>
      </c>
      <c r="F302" s="9">
        <v>-3.5200000000000002E-2</v>
      </c>
      <c r="G302" s="9">
        <v>-3.3700000000000001E-2</v>
      </c>
      <c r="H302" s="9">
        <v>-7.6399999999999996E-2</v>
      </c>
      <c r="I302" s="10">
        <f t="shared" si="7"/>
        <v>-3.0131453298796587E-2</v>
      </c>
    </row>
    <row r="303" spans="1:9" x14ac:dyDescent="0.35">
      <c r="A303" s="8">
        <v>37288</v>
      </c>
      <c r="B303" s="9">
        <v>-2.1600000000000001E-2</v>
      </c>
      <c r="C303" s="9">
        <v>-5.7999999999999996E-3</v>
      </c>
      <c r="D303" s="9">
        <v>-6.8999999999999999E-3</v>
      </c>
      <c r="E303" s="9">
        <v>1.4000000000000002E-3</v>
      </c>
      <c r="F303" s="9">
        <v>-9.7000000000000003E-3</v>
      </c>
      <c r="G303" s="9">
        <v>1E-3</v>
      </c>
      <c r="H303" s="9">
        <v>4.2099999999999999E-2</v>
      </c>
      <c r="I303" s="10">
        <f t="shared" si="7"/>
        <v>-9.6458983137715486E-3</v>
      </c>
    </row>
    <row r="304" spans="1:9" x14ac:dyDescent="0.35">
      <c r="A304" s="8">
        <v>37316</v>
      </c>
      <c r="B304" s="9">
        <v>4.3700000000000003E-2</v>
      </c>
      <c r="C304" s="9">
        <v>4.7899999999999998E-2</v>
      </c>
      <c r="D304" s="9">
        <v>3.73E-2</v>
      </c>
      <c r="E304" s="9">
        <v>6.93E-2</v>
      </c>
      <c r="F304" s="9">
        <v>7.5399999999999995E-2</v>
      </c>
      <c r="G304" s="9">
        <v>6.9199999999999998E-2</v>
      </c>
      <c r="H304" s="9">
        <v>6.3200000000000006E-2</v>
      </c>
      <c r="I304" s="10">
        <f t="shared" si="7"/>
        <v>4.8447463747559545E-2</v>
      </c>
    </row>
    <row r="305" spans="1:9" x14ac:dyDescent="0.35">
      <c r="A305" s="8">
        <v>37347</v>
      </c>
      <c r="B305" s="9">
        <v>-5.0499999999999996E-2</v>
      </c>
      <c r="C305" s="9">
        <v>8.8999999999999999E-3</v>
      </c>
      <c r="D305" s="9">
        <v>-4.5999999999999999E-3</v>
      </c>
      <c r="E305" s="9">
        <v>-1.52E-2</v>
      </c>
      <c r="F305" s="9">
        <v>-3.2199999999999999E-2</v>
      </c>
      <c r="G305" s="9">
        <v>5.1000000000000004E-3</v>
      </c>
      <c r="H305" s="9">
        <v>5.45E-2</v>
      </c>
      <c r="I305" s="10">
        <f t="shared" si="7"/>
        <v>-1.9254880035623926E-2</v>
      </c>
    </row>
    <row r="306" spans="1:9" x14ac:dyDescent="0.35">
      <c r="A306" s="8">
        <v>37377</v>
      </c>
      <c r="B306" s="9">
        <v>-1.2399999999999998E-2</v>
      </c>
      <c r="C306" s="9">
        <v>-1.06E-2</v>
      </c>
      <c r="D306" s="9">
        <v>2.6499999999999999E-2</v>
      </c>
      <c r="E306" s="9">
        <v>-5.9999999999999995E-4</v>
      </c>
      <c r="F306" s="9">
        <v>-1.38E-2</v>
      </c>
      <c r="G306" s="9">
        <v>-2.3E-2</v>
      </c>
      <c r="H306" s="9">
        <v>7.1500000000000008E-2</v>
      </c>
      <c r="I306" s="10">
        <f t="shared" si="7"/>
        <v>-4.5575049362269332E-3</v>
      </c>
    </row>
    <row r="307" spans="1:9" x14ac:dyDescent="0.35">
      <c r="A307" s="8">
        <v>37408</v>
      </c>
      <c r="B307" s="9">
        <v>-7.0800000000000002E-2</v>
      </c>
      <c r="C307" s="9">
        <v>-4.4000000000000004E-2</v>
      </c>
      <c r="D307" s="9">
        <v>-5.3600000000000002E-2</v>
      </c>
      <c r="E307" s="9">
        <v>-3.73E-2</v>
      </c>
      <c r="F307" s="9">
        <v>-3.9900000000000005E-2</v>
      </c>
      <c r="G307" s="9">
        <v>-1.38E-2</v>
      </c>
      <c r="H307" s="9">
        <v>-5.3499999999999999E-2</v>
      </c>
      <c r="I307" s="10">
        <f t="shared" si="7"/>
        <v>-5.7822731074077573E-2</v>
      </c>
    </row>
    <row r="308" spans="1:9" x14ac:dyDescent="0.35">
      <c r="A308" s="8">
        <v>37438</v>
      </c>
      <c r="B308" s="9">
        <v>-8.0299999999999996E-2</v>
      </c>
      <c r="C308" s="9">
        <v>-6.4100000000000004E-2</v>
      </c>
      <c r="D308" s="9">
        <v>-0.10980000000000001</v>
      </c>
      <c r="E308" s="9">
        <v>-0.1159</v>
      </c>
      <c r="F308" s="9">
        <v>-0.1492</v>
      </c>
      <c r="G308" s="9">
        <v>-9.1700000000000004E-2</v>
      </c>
      <c r="H308" s="9">
        <v>-5.9299999999999999E-2</v>
      </c>
      <c r="I308" s="10">
        <f t="shared" si="7"/>
        <v>-7.5606077420029769E-2</v>
      </c>
    </row>
    <row r="309" spans="1:9" x14ac:dyDescent="0.35">
      <c r="A309" s="8">
        <v>37469</v>
      </c>
      <c r="B309" s="9">
        <v>6.4000000000000003E-3</v>
      </c>
      <c r="C309" s="9">
        <v>-1.1399999999999999E-2</v>
      </c>
      <c r="D309" s="9">
        <v>1.3899999999999999E-2</v>
      </c>
      <c r="E309" s="9">
        <v>-8.0000000000000002E-3</v>
      </c>
      <c r="F309" s="9">
        <v>1.7000000000000001E-3</v>
      </c>
      <c r="G309" s="9">
        <v>1.9099999999999999E-2</v>
      </c>
      <c r="H309" s="9">
        <v>-1.37E-2</v>
      </c>
      <c r="I309" s="10">
        <f t="shared" si="7"/>
        <v>-2.3049820205069977E-3</v>
      </c>
    </row>
    <row r="310" spans="1:9" x14ac:dyDescent="0.35">
      <c r="A310" s="8">
        <v>37500</v>
      </c>
      <c r="B310" s="9">
        <v>-0.1021</v>
      </c>
      <c r="C310" s="9">
        <v>-0.1026</v>
      </c>
      <c r="D310" s="9">
        <v>-7.9199999999999993E-2</v>
      </c>
      <c r="E310" s="9">
        <v>-0.1575</v>
      </c>
      <c r="F310" s="9">
        <v>-0.23300000000000001</v>
      </c>
      <c r="G310" s="9">
        <v>-0.13830000000000001</v>
      </c>
      <c r="H310" s="9">
        <v>-4.9400000000000006E-2</v>
      </c>
      <c r="I310" s="10">
        <f t="shared" si="7"/>
        <v>-0.10243094802523429</v>
      </c>
    </row>
    <row r="311" spans="1:9" x14ac:dyDescent="0.35">
      <c r="A311" s="8">
        <v>37530</v>
      </c>
      <c r="B311" s="9">
        <v>7.9799999999999996E-2</v>
      </c>
      <c r="C311" s="9">
        <v>7.9000000000000001E-2</v>
      </c>
      <c r="D311" s="9">
        <v>2.75E-2</v>
      </c>
      <c r="E311" s="9">
        <v>0.1401</v>
      </c>
      <c r="F311" s="9">
        <v>0.14599999999999999</v>
      </c>
      <c r="G311" s="9">
        <v>9.2600000000000002E-2</v>
      </c>
      <c r="H311" s="9">
        <v>-6.59E-2</v>
      </c>
      <c r="I311" s="10">
        <f t="shared" si="7"/>
        <v>7.2296758036559675E-2</v>
      </c>
    </row>
    <row r="312" spans="1:9" x14ac:dyDescent="0.35">
      <c r="A312" s="8">
        <v>37561</v>
      </c>
      <c r="B312" s="9">
        <v>6.08E-2</v>
      </c>
      <c r="C312" s="9">
        <v>2.8799999999999999E-2</v>
      </c>
      <c r="D312" s="9">
        <v>5.3200000000000004E-2</v>
      </c>
      <c r="E312" s="9">
        <v>7.0099999999999996E-2</v>
      </c>
      <c r="F312" s="9">
        <v>4.7E-2</v>
      </c>
      <c r="G312" s="9">
        <v>9.7100000000000006E-2</v>
      </c>
      <c r="H312" s="9">
        <v>3.9699999999999999E-2</v>
      </c>
      <c r="I312" s="10">
        <f t="shared" si="7"/>
        <v>4.839327590680538E-2</v>
      </c>
    </row>
    <row r="313" spans="1:9" x14ac:dyDescent="0.35">
      <c r="A313" s="8">
        <v>37591</v>
      </c>
      <c r="B313" s="9">
        <v>-5.6499999999999995E-2</v>
      </c>
      <c r="C313" s="9">
        <v>-2.0799999999999999E-2</v>
      </c>
      <c r="D313" s="9">
        <v>-1.0800000000000001E-2</v>
      </c>
      <c r="E313" s="9">
        <v>-2.9300000000000003E-2</v>
      </c>
      <c r="F313" s="9">
        <v>-6.3700000000000007E-2</v>
      </c>
      <c r="G313" s="9">
        <v>-3.1800000000000002E-2</v>
      </c>
      <c r="H313" s="9">
        <v>-2.4E-2</v>
      </c>
      <c r="I313" s="10">
        <f t="shared" si="7"/>
        <v>-3.9865156714003494E-2</v>
      </c>
    </row>
    <row r="314" spans="1:9" x14ac:dyDescent="0.35">
      <c r="A314" s="8">
        <v>37622</v>
      </c>
      <c r="B314" s="9">
        <v>-2.4699999999999996E-2</v>
      </c>
      <c r="C314" s="9">
        <v>-7.0800000000000002E-2</v>
      </c>
      <c r="D314" s="9">
        <v>2.8399999999999998E-2</v>
      </c>
      <c r="E314" s="9">
        <v>-1.1399999999999999E-2</v>
      </c>
      <c r="F314" s="9">
        <v>-2.23E-2</v>
      </c>
      <c r="G314" s="9">
        <v>-1.44E-2</v>
      </c>
      <c r="H314" s="9">
        <v>-3.6499999999999998E-2</v>
      </c>
      <c r="I314" s="10">
        <f t="shared" si="7"/>
        <v>-4.0979538223217787E-2</v>
      </c>
    </row>
    <row r="315" spans="1:9" x14ac:dyDescent="0.35">
      <c r="A315" s="8">
        <v>37653</v>
      </c>
      <c r="B315" s="9">
        <v>-1.7899999999999999E-2</v>
      </c>
      <c r="C315" s="9">
        <v>-1.8799999999999997E-2</v>
      </c>
      <c r="D315" s="9">
        <v>2.98E-2</v>
      </c>
      <c r="E315" s="9">
        <v>-5.1200000000000002E-2</v>
      </c>
      <c r="F315" s="9">
        <v>-6.5099999999999991E-2</v>
      </c>
      <c r="G315" s="9">
        <v>1.9799999999999998E-2</v>
      </c>
      <c r="H315" s="9">
        <v>1.0500000000000001E-2</v>
      </c>
      <c r="I315" s="10">
        <f t="shared" si="7"/>
        <v>-1.8342745808859112E-2</v>
      </c>
    </row>
    <row r="316" spans="1:9" x14ac:dyDescent="0.35">
      <c r="A316" s="8">
        <v>37681</v>
      </c>
      <c r="B316" s="9">
        <v>1.1900000000000001E-2</v>
      </c>
      <c r="C316" s="9">
        <v>-6.3E-3</v>
      </c>
      <c r="D316" s="9">
        <v>-1.2699999999999999E-2</v>
      </c>
      <c r="E316" s="9">
        <v>-2.9900000000000003E-2</v>
      </c>
      <c r="F316" s="9">
        <v>-2.87E-2</v>
      </c>
      <c r="G316" s="9">
        <v>-5.5899999999999998E-2</v>
      </c>
      <c r="H316" s="9">
        <v>-4.36E-2</v>
      </c>
      <c r="I316" s="10">
        <f t="shared" si="7"/>
        <v>-1.5904517899395993E-3</v>
      </c>
    </row>
    <row r="317" spans="1:9" x14ac:dyDescent="0.35">
      <c r="A317" s="8">
        <v>37712</v>
      </c>
      <c r="B317" s="9">
        <v>8.3199999999999996E-2</v>
      </c>
      <c r="C317" s="9">
        <v>0.10580000000000001</v>
      </c>
      <c r="D317" s="9">
        <v>6.5700000000000008E-2</v>
      </c>
      <c r="E317" s="9">
        <v>0.15039999999999998</v>
      </c>
      <c r="F317" s="9">
        <v>0.21989999999999998</v>
      </c>
      <c r="G317" s="9">
        <v>0.13730000000000001</v>
      </c>
      <c r="H317" s="9">
        <v>6.1999999999999998E-3</v>
      </c>
      <c r="I317" s="10">
        <f t="shared" si="7"/>
        <v>9.0150520020759406E-2</v>
      </c>
    </row>
    <row r="318" spans="1:9" x14ac:dyDescent="0.35">
      <c r="A318" s="8">
        <v>37742</v>
      </c>
      <c r="B318" s="9">
        <v>6.1399999999999996E-2</v>
      </c>
      <c r="C318" s="9">
        <v>6.7099999999999993E-2</v>
      </c>
      <c r="D318" s="9">
        <v>8.8200000000000001E-2</v>
      </c>
      <c r="E318" s="9">
        <v>7.8E-2</v>
      </c>
      <c r="F318" s="9">
        <v>7.2400000000000006E-2</v>
      </c>
      <c r="G318" s="9">
        <v>0.1057</v>
      </c>
      <c r="H318" s="9">
        <v>4.6799999999999994E-2</v>
      </c>
      <c r="I318" s="10">
        <f t="shared" si="7"/>
        <v>6.3341449662161667E-2</v>
      </c>
    </row>
    <row r="319" spans="1:9" x14ac:dyDescent="0.35">
      <c r="A319" s="8">
        <v>37773</v>
      </c>
      <c r="B319" s="9">
        <v>1.52E-2</v>
      </c>
      <c r="C319" s="9">
        <v>9.300000000000001E-3</v>
      </c>
      <c r="D319" s="9">
        <v>3.1099999999999999E-2</v>
      </c>
      <c r="E319" s="9">
        <v>2E-3</v>
      </c>
      <c r="F319" s="9">
        <v>4.6500000000000007E-2</v>
      </c>
      <c r="G319" s="9">
        <v>-2.7699999999999999E-2</v>
      </c>
      <c r="H319" s="9">
        <v>7.8600000000000003E-2</v>
      </c>
      <c r="I319" s="10">
        <f t="shared" si="7"/>
        <v>1.7477005125880768E-2</v>
      </c>
    </row>
    <row r="320" spans="1:9" x14ac:dyDescent="0.35">
      <c r="A320" s="8">
        <v>37803</v>
      </c>
      <c r="B320" s="9">
        <v>2.4199999999999999E-2</v>
      </c>
      <c r="C320" s="9">
        <v>1.0200000000000001E-2</v>
      </c>
      <c r="D320" s="9">
        <v>-4.0000000000000002E-4</v>
      </c>
      <c r="E320" s="9">
        <v>2.4300000000000002E-2</v>
      </c>
      <c r="F320" s="9">
        <v>5.1900000000000002E-2</v>
      </c>
      <c r="G320" s="9">
        <v>-2.9999999999999997E-4</v>
      </c>
      <c r="H320" s="9">
        <v>4.0599999999999997E-2</v>
      </c>
      <c r="I320" s="10">
        <f t="shared" si="7"/>
        <v>2.0759822364765854E-2</v>
      </c>
    </row>
    <row r="321" spans="1:9" x14ac:dyDescent="0.35">
      <c r="A321" s="8">
        <v>37834</v>
      </c>
      <c r="B321" s="9">
        <v>2.4099999999999996E-2</v>
      </c>
      <c r="C321" s="9">
        <v>-9.0000000000000011E-3</v>
      </c>
      <c r="D321" s="9">
        <v>4.6300000000000001E-2</v>
      </c>
      <c r="E321" s="9">
        <v>1.18E-2</v>
      </c>
      <c r="F321" s="9">
        <v>-1.3100000000000001E-2</v>
      </c>
      <c r="G321" s="9">
        <v>-2.3799999999999998E-2</v>
      </c>
      <c r="H321" s="9">
        <v>0.1047</v>
      </c>
      <c r="I321" s="10">
        <f t="shared" si="7"/>
        <v>1.7739214904091215E-2</v>
      </c>
    </row>
    <row r="322" spans="1:9" x14ac:dyDescent="0.35">
      <c r="A322" s="8">
        <v>37865</v>
      </c>
      <c r="B322" s="9">
        <v>-1.1599999999999999E-2</v>
      </c>
      <c r="C322" s="9">
        <v>3.61E-2</v>
      </c>
      <c r="D322" s="9">
        <v>1.8000000000000002E-2</v>
      </c>
      <c r="E322" s="9">
        <v>1.7899999999999999E-2</v>
      </c>
      <c r="F322" s="9">
        <v>1.1999999999999999E-3</v>
      </c>
      <c r="G322" s="9">
        <v>4.2500000000000003E-2</v>
      </c>
      <c r="H322" s="9">
        <v>6.1399999999999996E-2</v>
      </c>
      <c r="I322" s="10">
        <f t="shared" ref="I322:I385" si="8">SUMPRODUCT(B322:H322,$M$5:$S$5)</f>
        <v>1.2668264124938079E-2</v>
      </c>
    </row>
    <row r="323" spans="1:9" x14ac:dyDescent="0.35">
      <c r="A323" s="8">
        <v>37895</v>
      </c>
      <c r="B323" s="9">
        <v>6.1500000000000006E-2</v>
      </c>
      <c r="C323" s="9">
        <v>7.1500000000000008E-2</v>
      </c>
      <c r="D323" s="9">
        <v>7.17E-2</v>
      </c>
      <c r="E323" s="9">
        <v>7.5199999999999989E-2</v>
      </c>
      <c r="F323" s="9">
        <v>0.1162</v>
      </c>
      <c r="G323" s="9">
        <v>5.0900000000000001E-2</v>
      </c>
      <c r="H323" s="9">
        <v>4.1599999999999998E-2</v>
      </c>
      <c r="I323" s="10">
        <f t="shared" si="8"/>
        <v>6.4671710914594907E-2</v>
      </c>
    </row>
    <row r="324" spans="1:9" x14ac:dyDescent="0.35">
      <c r="A324" s="8">
        <v>37926</v>
      </c>
      <c r="B324" s="9">
        <v>1.4200000000000001E-2</v>
      </c>
      <c r="C324" s="9">
        <v>2.7699999999999999E-2</v>
      </c>
      <c r="D324" s="9">
        <v>2.5099999999999997E-2</v>
      </c>
      <c r="E324" s="9">
        <v>5.0300000000000004E-2</v>
      </c>
      <c r="F324" s="9">
        <v>4.87E-2</v>
      </c>
      <c r="G324" s="9">
        <v>8.0799999999999997E-2</v>
      </c>
      <c r="H324" s="9">
        <v>-3.2300000000000002E-2</v>
      </c>
      <c r="I324" s="10">
        <f t="shared" si="8"/>
        <v>1.7739060982025039E-2</v>
      </c>
    </row>
    <row r="325" spans="1:9" x14ac:dyDescent="0.35">
      <c r="A325" s="8">
        <v>37956</v>
      </c>
      <c r="B325" s="9">
        <v>4.3700000000000003E-2</v>
      </c>
      <c r="C325" s="9">
        <v>7.5399999999999995E-2</v>
      </c>
      <c r="D325" s="9">
        <v>6.2300000000000001E-2</v>
      </c>
      <c r="E325" s="9">
        <v>8.5500000000000007E-2</v>
      </c>
      <c r="F325" s="9">
        <v>0.10249999999999999</v>
      </c>
      <c r="G325" s="9">
        <v>0.05</v>
      </c>
      <c r="H325" s="9">
        <v>6.7299999999999999E-2</v>
      </c>
      <c r="I325" s="10">
        <f t="shared" si="8"/>
        <v>5.9580217059631554E-2</v>
      </c>
    </row>
    <row r="326" spans="1:9" x14ac:dyDescent="0.35">
      <c r="A326" s="8">
        <v>37987</v>
      </c>
      <c r="B326" s="9">
        <v>2.2199999999999998E-2</v>
      </c>
      <c r="C326" s="9">
        <v>5.4000000000000003E-3</v>
      </c>
      <c r="D326" s="9">
        <v>6.5000000000000006E-3</v>
      </c>
      <c r="E326" s="9">
        <v>1.38E-2</v>
      </c>
      <c r="F326" s="9">
        <v>1.55E-2</v>
      </c>
      <c r="G326" s="9">
        <v>2.0199999999999999E-2</v>
      </c>
      <c r="H326" s="9">
        <v>1.6899999999999998E-2</v>
      </c>
      <c r="I326" s="10">
        <f t="shared" si="8"/>
        <v>1.5340995272342645E-2</v>
      </c>
    </row>
    <row r="327" spans="1:9" x14ac:dyDescent="0.35">
      <c r="A327" s="8">
        <v>38018</v>
      </c>
      <c r="B327" s="9">
        <v>1.46E-2</v>
      </c>
      <c r="C327" s="9">
        <v>4.6699999999999998E-2</v>
      </c>
      <c r="D327" s="9">
        <v>2.1499999999999998E-2</v>
      </c>
      <c r="E327" s="9">
        <v>2.7999999999999997E-2</v>
      </c>
      <c r="F327" s="9">
        <v>-3.9000000000000003E-3</v>
      </c>
      <c r="G327" s="9">
        <v>1.6399999999999998E-2</v>
      </c>
      <c r="H327" s="9">
        <v>5.9999999999999995E-4</v>
      </c>
      <c r="I327" s="10">
        <f t="shared" si="8"/>
        <v>2.5454186742136647E-2</v>
      </c>
    </row>
    <row r="328" spans="1:9" x14ac:dyDescent="0.35">
      <c r="A328" s="8">
        <v>38047</v>
      </c>
      <c r="B328" s="9">
        <v>-1.23E-2</v>
      </c>
      <c r="C328" s="9">
        <v>-2.8399999999999998E-2</v>
      </c>
      <c r="D328" s="9">
        <v>1E-4</v>
      </c>
      <c r="E328" s="9">
        <v>-3.3099999999999997E-2</v>
      </c>
      <c r="F328" s="9">
        <v>-4.7300000000000002E-2</v>
      </c>
      <c r="G328" s="9">
        <v>-2.7799999999999998E-2</v>
      </c>
      <c r="H328" s="9">
        <v>0.1424</v>
      </c>
      <c r="I328" s="10">
        <f t="shared" si="8"/>
        <v>-7.4382283188093989E-3</v>
      </c>
    </row>
    <row r="329" spans="1:9" x14ac:dyDescent="0.35">
      <c r="A329" s="8">
        <v>38078</v>
      </c>
      <c r="B329" s="9">
        <v>-1.7500000000000002E-2</v>
      </c>
      <c r="C329" s="9">
        <v>-1.0500000000000001E-2</v>
      </c>
      <c r="D329" s="9">
        <v>-7.3300000000000004E-2</v>
      </c>
      <c r="E329" s="9">
        <v>-1.1699999999999999E-2</v>
      </c>
      <c r="F329" s="9">
        <v>-2.5999999999999999E-3</v>
      </c>
      <c r="G329" s="9">
        <v>1.3500000000000002E-2</v>
      </c>
      <c r="H329" s="9">
        <v>-4.9599999999999998E-2</v>
      </c>
      <c r="I329" s="10">
        <f t="shared" si="8"/>
        <v>-1.7081823889628926E-2</v>
      </c>
    </row>
    <row r="330" spans="1:9" x14ac:dyDescent="0.35">
      <c r="A330" s="8">
        <v>38108</v>
      </c>
      <c r="B330" s="9">
        <v>1.23E-2</v>
      </c>
      <c r="C330" s="9">
        <v>2.1299999999999999E-2</v>
      </c>
      <c r="D330" s="9">
        <v>2.9100000000000001E-2</v>
      </c>
      <c r="E330" s="9">
        <v>1.44E-2</v>
      </c>
      <c r="F330" s="9">
        <v>-2.7000000000000001E-3</v>
      </c>
      <c r="G330" s="9">
        <v>-5.4000000000000003E-3</v>
      </c>
      <c r="H330" s="9">
        <v>-2.8999999999999998E-2</v>
      </c>
      <c r="I330" s="10">
        <f t="shared" si="8"/>
        <v>1.2274005817462574E-2</v>
      </c>
    </row>
    <row r="331" spans="1:9" x14ac:dyDescent="0.35">
      <c r="A331" s="8">
        <v>38139</v>
      </c>
      <c r="B331" s="9">
        <v>1.9400000000000001E-2</v>
      </c>
      <c r="C331" s="9">
        <v>2.5000000000000001E-3</v>
      </c>
      <c r="D331" s="9">
        <v>3.3500000000000002E-2</v>
      </c>
      <c r="E331" s="9">
        <v>2.0299999999999999E-2</v>
      </c>
      <c r="F331" s="9">
        <v>2.8900000000000002E-2</v>
      </c>
      <c r="G331" s="9">
        <v>2.8799999999999999E-2</v>
      </c>
      <c r="H331" s="9">
        <v>4.4999999999999998E-2</v>
      </c>
      <c r="I331" s="10">
        <f t="shared" si="8"/>
        <v>1.5576425559147086E-2</v>
      </c>
    </row>
    <row r="332" spans="1:9" x14ac:dyDescent="0.35">
      <c r="A332" s="8">
        <v>38169</v>
      </c>
      <c r="B332" s="9">
        <v>-3.9599999999999996E-2</v>
      </c>
      <c r="C332" s="9">
        <v>-9.4999999999999998E-3</v>
      </c>
      <c r="D332" s="9">
        <v>0.01</v>
      </c>
      <c r="E332" s="9">
        <v>-3.0299999999999997E-2</v>
      </c>
      <c r="F332" s="9">
        <v>-4.3799999999999999E-2</v>
      </c>
      <c r="G332" s="9">
        <v>-2.35E-2</v>
      </c>
      <c r="H332" s="9">
        <v>-6.0999999999999999E-2</v>
      </c>
      <c r="I332" s="10">
        <f t="shared" si="8"/>
        <v>-3.0167976225654418E-2</v>
      </c>
    </row>
    <row r="333" spans="1:9" x14ac:dyDescent="0.35">
      <c r="A333" s="8">
        <v>38200</v>
      </c>
      <c r="B333" s="9">
        <v>1.9E-3</v>
      </c>
      <c r="C333" s="9">
        <v>5.0000000000000001E-4</v>
      </c>
      <c r="D333" s="9">
        <v>-2.5000000000000001E-3</v>
      </c>
      <c r="E333" s="9">
        <v>-5.4000000000000003E-3</v>
      </c>
      <c r="F333" s="9">
        <v>-2.2000000000000002E-2</v>
      </c>
      <c r="G333" s="9">
        <v>-5.5000000000000005E-3</v>
      </c>
      <c r="H333" s="9">
        <v>6.7000000000000002E-3</v>
      </c>
      <c r="I333" s="10">
        <f t="shared" si="8"/>
        <v>1.1750694863918642E-3</v>
      </c>
    </row>
    <row r="334" spans="1:9" x14ac:dyDescent="0.35">
      <c r="A334" s="8">
        <v>38231</v>
      </c>
      <c r="B334" s="9">
        <v>1.7100000000000001E-2</v>
      </c>
      <c r="C334" s="9">
        <v>3.2599999999999997E-2</v>
      </c>
      <c r="D334" s="9">
        <v>7.7300000000000008E-2</v>
      </c>
      <c r="E334" s="9">
        <v>4.0500000000000001E-2</v>
      </c>
      <c r="F334" s="9">
        <v>4.99E-2</v>
      </c>
      <c r="G334" s="9">
        <v>5.9500000000000004E-2</v>
      </c>
      <c r="H334" s="9">
        <v>-2.7999999999999997E-2</v>
      </c>
      <c r="I334" s="10">
        <f t="shared" si="8"/>
        <v>2.0674977813820997E-2</v>
      </c>
    </row>
    <row r="335" spans="1:9" x14ac:dyDescent="0.35">
      <c r="A335" s="8">
        <v>38261</v>
      </c>
      <c r="B335" s="9">
        <v>1.54E-2</v>
      </c>
      <c r="C335" s="9">
        <v>2.8300000000000002E-2</v>
      </c>
      <c r="D335" s="9">
        <v>6.6000000000000003E-2</v>
      </c>
      <c r="E335" s="9">
        <v>4.5899999999999996E-2</v>
      </c>
      <c r="F335" s="9">
        <v>3.9599999999999996E-2</v>
      </c>
      <c r="G335" s="9">
        <v>5.91E-2</v>
      </c>
      <c r="H335" s="9">
        <v>2.41E-2</v>
      </c>
      <c r="I335" s="10">
        <f t="shared" si="8"/>
        <v>2.2604233865867913E-2</v>
      </c>
    </row>
    <row r="336" spans="1:9" x14ac:dyDescent="0.35">
      <c r="A336" s="8">
        <v>38292</v>
      </c>
      <c r="B336" s="9">
        <v>4.6900000000000004E-2</v>
      </c>
      <c r="C336" s="9">
        <v>6.5700000000000008E-2</v>
      </c>
      <c r="D336" s="9">
        <v>4.2900000000000001E-2</v>
      </c>
      <c r="E336" s="9">
        <v>6.1200000000000004E-2</v>
      </c>
      <c r="F336" s="9">
        <v>8.8399999999999992E-2</v>
      </c>
      <c r="G336" s="9">
        <v>7.85E-2</v>
      </c>
      <c r="H336" s="9">
        <v>4.8000000000000001E-2</v>
      </c>
      <c r="I336" s="10">
        <f t="shared" si="8"/>
        <v>5.4733488638771727E-2</v>
      </c>
    </row>
    <row r="337" spans="1:9" x14ac:dyDescent="0.35">
      <c r="A337" s="8">
        <v>38322</v>
      </c>
      <c r="B337" s="9">
        <v>3.5900000000000001E-2</v>
      </c>
      <c r="C337" s="9">
        <v>3.5299999999999998E-2</v>
      </c>
      <c r="D337" s="9">
        <v>1.9199999999999998E-2</v>
      </c>
      <c r="E337" s="9">
        <v>4.4199999999999996E-2</v>
      </c>
      <c r="F337" s="9">
        <v>5.4100000000000002E-2</v>
      </c>
      <c r="G337" s="9">
        <v>8.0600000000000005E-2</v>
      </c>
      <c r="H337" s="9">
        <v>5.2900000000000003E-2</v>
      </c>
      <c r="I337" s="10">
        <f t="shared" si="8"/>
        <v>3.7635076898266374E-2</v>
      </c>
    </row>
    <row r="338" spans="1:9" x14ac:dyDescent="0.35">
      <c r="A338" s="8">
        <v>38353</v>
      </c>
      <c r="B338" s="9">
        <v>-2.5999999999999995E-2</v>
      </c>
      <c r="C338" s="9">
        <v>-5.0000000000000001E-3</v>
      </c>
      <c r="D338" s="9">
        <v>-3.8599999999999995E-2</v>
      </c>
      <c r="E338" s="9">
        <v>-1.2800000000000001E-2</v>
      </c>
      <c r="F338" s="9">
        <v>-3.6000000000000004E-2</v>
      </c>
      <c r="G338" s="9">
        <v>-1.7000000000000001E-2</v>
      </c>
      <c r="H338" s="9">
        <v>-1.67E-2</v>
      </c>
      <c r="I338" s="10">
        <f t="shared" si="8"/>
        <v>-1.7185410862226091E-2</v>
      </c>
    </row>
    <row r="339" spans="1:9" x14ac:dyDescent="0.35">
      <c r="A339" s="8">
        <v>38384</v>
      </c>
      <c r="B339" s="9">
        <v>2.0499999999999997E-2</v>
      </c>
      <c r="C339" s="9">
        <v>4.4400000000000002E-2</v>
      </c>
      <c r="D339" s="9">
        <v>5.7200000000000001E-2</v>
      </c>
      <c r="E339" s="9">
        <v>4.7300000000000002E-2</v>
      </c>
      <c r="F339" s="9">
        <v>0.04</v>
      </c>
      <c r="G339" s="9">
        <v>2.92E-2</v>
      </c>
      <c r="H339" s="9">
        <v>1.6200000000000003E-2</v>
      </c>
      <c r="I339" s="10">
        <f t="shared" si="8"/>
        <v>3.0300610533598494E-2</v>
      </c>
    </row>
    <row r="340" spans="1:9" x14ac:dyDescent="0.35">
      <c r="A340" s="8">
        <v>38412</v>
      </c>
      <c r="B340" s="9">
        <v>-1.7600000000000001E-2</v>
      </c>
      <c r="C340" s="9">
        <v>-2.8999999999999998E-2</v>
      </c>
      <c r="D340" s="9">
        <v>2.0099999999999996E-2</v>
      </c>
      <c r="E340" s="9">
        <v>-1.18E-2</v>
      </c>
      <c r="F340" s="9">
        <v>-2.0400000000000001E-2</v>
      </c>
      <c r="G340" s="9">
        <v>-6.1999999999999998E-3</v>
      </c>
      <c r="H340" s="9">
        <v>-2.2400000000000003E-2</v>
      </c>
      <c r="I340" s="10">
        <f t="shared" si="8"/>
        <v>-2.1644817818003183E-2</v>
      </c>
    </row>
    <row r="341" spans="1:9" x14ac:dyDescent="0.35">
      <c r="A341" s="8">
        <v>38443</v>
      </c>
      <c r="B341" s="9">
        <v>-2.4E-2</v>
      </c>
      <c r="C341" s="9">
        <v>-1.1299999999999999E-2</v>
      </c>
      <c r="D341" s="9">
        <v>-5.3399999999999996E-2</v>
      </c>
      <c r="E341" s="9">
        <v>-4.2599999999999999E-2</v>
      </c>
      <c r="F341" s="9">
        <v>-5.3399999999999996E-2</v>
      </c>
      <c r="G341" s="9">
        <v>-4.8899999999999999E-2</v>
      </c>
      <c r="H341" s="9">
        <v>-2.1499999999999998E-2</v>
      </c>
      <c r="I341" s="10">
        <f t="shared" si="8"/>
        <v>-2.067214850184981E-2</v>
      </c>
    </row>
    <row r="342" spans="1:9" x14ac:dyDescent="0.35">
      <c r="A342" s="8">
        <v>38473</v>
      </c>
      <c r="B342" s="9">
        <v>3.8899999999999997E-2</v>
      </c>
      <c r="C342" s="9">
        <v>-1.03E-2</v>
      </c>
      <c r="D342" s="9">
        <v>2.5699999999999997E-2</v>
      </c>
      <c r="E342" s="9">
        <v>9.7000000000000003E-3</v>
      </c>
      <c r="F342" s="9">
        <v>1.3100000000000001E-2</v>
      </c>
      <c r="G342" s="9">
        <v>-1.7899999999999999E-2</v>
      </c>
      <c r="H342" s="9">
        <v>-1.9299999999999998E-2</v>
      </c>
      <c r="I342" s="10">
        <f t="shared" si="8"/>
        <v>1.5180789866372595E-2</v>
      </c>
    </row>
    <row r="343" spans="1:9" x14ac:dyDescent="0.35">
      <c r="A343" s="8">
        <v>38504</v>
      </c>
      <c r="B343" s="9">
        <v>8.0000000000000002E-3</v>
      </c>
      <c r="C343" s="9">
        <v>1.7899999999999999E-2</v>
      </c>
      <c r="D343" s="9">
        <v>6.3099999999999989E-2</v>
      </c>
      <c r="E343" s="9">
        <v>1.5900000000000001E-2</v>
      </c>
      <c r="F343" s="9">
        <v>1.7299999999999999E-2</v>
      </c>
      <c r="G343" s="9">
        <v>7.9000000000000008E-3</v>
      </c>
      <c r="H343" s="9">
        <v>6.9999999999999993E-3</v>
      </c>
      <c r="I343" s="10">
        <f t="shared" si="8"/>
        <v>1.1936616245271177E-2</v>
      </c>
    </row>
    <row r="344" spans="1:9" x14ac:dyDescent="0.35">
      <c r="A344" s="8">
        <v>38534</v>
      </c>
      <c r="B344" s="9">
        <v>4.1599999999999998E-2</v>
      </c>
      <c r="C344" s="9">
        <v>1.6899999999999998E-2</v>
      </c>
      <c r="D344" s="9">
        <v>5.16E-2</v>
      </c>
      <c r="E344" s="9">
        <v>5.5199999999999999E-2</v>
      </c>
      <c r="F344" s="9">
        <v>6.3700000000000007E-2</v>
      </c>
      <c r="G344" s="9">
        <v>4.6199999999999998E-2</v>
      </c>
      <c r="H344" s="9">
        <v>1.0200000000000001E-2</v>
      </c>
      <c r="I344" s="10">
        <f t="shared" si="8"/>
        <v>3.1466026356372231E-2</v>
      </c>
    </row>
    <row r="345" spans="1:9" x14ac:dyDescent="0.35">
      <c r="A345" s="8">
        <v>38565</v>
      </c>
      <c r="B345" s="9">
        <v>-9.1999999999999998E-3</v>
      </c>
      <c r="C345" s="9">
        <v>3.0299999999999997E-2</v>
      </c>
      <c r="D345" s="9">
        <v>6.0400000000000002E-2</v>
      </c>
      <c r="E345" s="9">
        <v>1.01E-2</v>
      </c>
      <c r="F345" s="9">
        <v>8.8999999999999999E-3</v>
      </c>
      <c r="G345" s="9">
        <v>1.8200000000000001E-2</v>
      </c>
      <c r="H345" s="9">
        <v>7.46E-2</v>
      </c>
      <c r="I345" s="10">
        <f t="shared" si="8"/>
        <v>1.2453228931693809E-2</v>
      </c>
    </row>
    <row r="346" spans="1:9" x14ac:dyDescent="0.35">
      <c r="A346" s="8">
        <v>38596</v>
      </c>
      <c r="B346" s="9">
        <v>7.8000000000000005E-3</v>
      </c>
      <c r="C346" s="9">
        <v>1.2800000000000001E-2</v>
      </c>
      <c r="D346" s="9">
        <v>5.5199999999999999E-2</v>
      </c>
      <c r="E346" s="9">
        <v>2.23E-2</v>
      </c>
      <c r="F346" s="9">
        <v>1.6899999999999998E-2</v>
      </c>
      <c r="G346" s="9">
        <v>1.46E-2</v>
      </c>
      <c r="H346" s="9">
        <v>8.9900000000000008E-2</v>
      </c>
      <c r="I346" s="10">
        <f t="shared" si="8"/>
        <v>1.6861701146762848E-2</v>
      </c>
    </row>
    <row r="347" spans="1:9" x14ac:dyDescent="0.35">
      <c r="A347" s="8">
        <v>38626</v>
      </c>
      <c r="B347" s="9">
        <v>-1.7500000000000002E-2</v>
      </c>
      <c r="C347" s="9">
        <v>-2.12E-2</v>
      </c>
      <c r="D347" s="9">
        <v>-7.85E-2</v>
      </c>
      <c r="E347" s="9">
        <v>-3.5799999999999998E-2</v>
      </c>
      <c r="F347" s="9">
        <v>-2.9100000000000001E-2</v>
      </c>
      <c r="G347" s="9">
        <v>-6.4100000000000004E-2</v>
      </c>
      <c r="H347" s="9">
        <v>-7.4000000000000003E-3</v>
      </c>
      <c r="I347" s="10">
        <f t="shared" si="8"/>
        <v>-1.9195104920726291E-2</v>
      </c>
    </row>
    <row r="348" spans="1:9" x14ac:dyDescent="0.35">
      <c r="A348" s="8">
        <v>38657</v>
      </c>
      <c r="B348" s="9">
        <v>3.9199999999999999E-2</v>
      </c>
      <c r="C348" s="9">
        <v>2.8000000000000004E-3</v>
      </c>
      <c r="D348" s="9">
        <v>5.33E-2</v>
      </c>
      <c r="E348" s="9">
        <v>1.7000000000000001E-2</v>
      </c>
      <c r="F348" s="9">
        <v>2.9900000000000003E-2</v>
      </c>
      <c r="G348" s="9">
        <v>1.8600000000000002E-2</v>
      </c>
      <c r="H348" s="9">
        <v>3.6400000000000002E-2</v>
      </c>
      <c r="I348" s="10">
        <f t="shared" si="8"/>
        <v>2.4809155950226463E-2</v>
      </c>
    </row>
    <row r="349" spans="1:9" x14ac:dyDescent="0.35">
      <c r="A349" s="8">
        <v>38687</v>
      </c>
      <c r="B349" s="9">
        <v>7.000000000000001E-4</v>
      </c>
      <c r="C349" s="9">
        <v>3.6799999999999999E-2</v>
      </c>
      <c r="D349" s="9">
        <v>4.58E-2</v>
      </c>
      <c r="E349" s="9">
        <v>4.0099999999999997E-2</v>
      </c>
      <c r="F349" s="9">
        <v>4.5499999999999999E-2</v>
      </c>
      <c r="G349" s="9">
        <v>4.3899999999999995E-2</v>
      </c>
      <c r="H349" s="9">
        <v>8.9099999999999999E-2</v>
      </c>
      <c r="I349" s="10">
        <f t="shared" si="8"/>
        <v>2.2911520163475987E-2</v>
      </c>
    </row>
    <row r="350" spans="1:9" x14ac:dyDescent="0.35">
      <c r="A350" s="8">
        <v>38718</v>
      </c>
      <c r="B350" s="9">
        <v>3.39E-2</v>
      </c>
      <c r="C350" s="9">
        <v>6.3500000000000001E-2</v>
      </c>
      <c r="D350" s="9">
        <v>7.7499999999999999E-2</v>
      </c>
      <c r="E350" s="9">
        <v>7.7100000000000002E-2</v>
      </c>
      <c r="F350" s="9">
        <v>7.9899999999999999E-2</v>
      </c>
      <c r="G350" s="9">
        <v>6.1399999999999996E-2</v>
      </c>
      <c r="H350" s="9">
        <v>4.3400000000000001E-2</v>
      </c>
      <c r="I350" s="10">
        <f t="shared" si="8"/>
        <v>4.7943085850087601E-2</v>
      </c>
    </row>
    <row r="351" spans="1:9" x14ac:dyDescent="0.35">
      <c r="A351" s="8">
        <v>38749</v>
      </c>
      <c r="B351" s="9">
        <v>4.0000000000000034E-4</v>
      </c>
      <c r="C351" s="9">
        <v>-3.4999999999999996E-3</v>
      </c>
      <c r="D351" s="9">
        <v>-1.44E-2</v>
      </c>
      <c r="E351" s="9">
        <v>-3.9000000000000003E-3</v>
      </c>
      <c r="F351" s="9">
        <v>1.2E-2</v>
      </c>
      <c r="G351" s="9">
        <v>1.52E-2</v>
      </c>
      <c r="H351" s="9">
        <v>-1.0200000000000001E-2</v>
      </c>
      <c r="I351" s="10">
        <f t="shared" si="8"/>
        <v>-1.9683151922858548E-3</v>
      </c>
    </row>
    <row r="352" spans="1:9" x14ac:dyDescent="0.35">
      <c r="A352" s="8">
        <v>38777</v>
      </c>
      <c r="B352" s="9">
        <v>1.83E-2</v>
      </c>
      <c r="C352" s="9">
        <v>2.23E-2</v>
      </c>
      <c r="D352" s="9">
        <v>1.2E-2</v>
      </c>
      <c r="E352" s="9">
        <v>6.7099999999999993E-2</v>
      </c>
      <c r="F352" s="9">
        <v>5.0700000000000002E-2</v>
      </c>
      <c r="G352" s="9">
        <v>3.0800000000000001E-2</v>
      </c>
      <c r="H352" s="9">
        <v>2.2700000000000001E-2</v>
      </c>
      <c r="I352" s="10">
        <f t="shared" si="8"/>
        <v>2.3203541190993025E-2</v>
      </c>
    </row>
    <row r="353" spans="1:9" x14ac:dyDescent="0.35">
      <c r="A353" s="8">
        <v>38808</v>
      </c>
      <c r="B353" s="9">
        <v>1.0899999999999998E-2</v>
      </c>
      <c r="C353" s="9">
        <v>6.3E-2</v>
      </c>
      <c r="D353" s="9">
        <v>4.9400000000000006E-2</v>
      </c>
      <c r="E353" s="9">
        <v>3.7499999999999999E-2</v>
      </c>
      <c r="F353" s="9">
        <v>4.41E-2</v>
      </c>
      <c r="G353" s="9">
        <v>4.1500000000000002E-2</v>
      </c>
      <c r="H353" s="9">
        <v>2.75E-2</v>
      </c>
      <c r="I353" s="10">
        <f t="shared" si="8"/>
        <v>3.2303986486731232E-2</v>
      </c>
    </row>
    <row r="354" spans="1:9" x14ac:dyDescent="0.35">
      <c r="A354" s="8">
        <v>38838</v>
      </c>
      <c r="B354" s="9">
        <v>-3.1399999999999997E-2</v>
      </c>
      <c r="C354" s="9">
        <v>-2.4E-2</v>
      </c>
      <c r="D354" s="9">
        <v>-3.2799999999999996E-2</v>
      </c>
      <c r="E354" s="9">
        <v>-3.6400000000000002E-2</v>
      </c>
      <c r="F354" s="9">
        <v>-5.2499999999999998E-2</v>
      </c>
      <c r="G354" s="9">
        <v>-2.1400000000000002E-2</v>
      </c>
      <c r="H354" s="9">
        <v>-6.2800000000000009E-2</v>
      </c>
      <c r="I354" s="10">
        <f t="shared" si="8"/>
        <v>-3.168835961085599E-2</v>
      </c>
    </row>
    <row r="355" spans="1:9" x14ac:dyDescent="0.35">
      <c r="A355" s="8">
        <v>38869</v>
      </c>
      <c r="B355" s="9">
        <v>5.0000000000000044E-4</v>
      </c>
      <c r="C355" s="9">
        <v>9.0000000000000011E-3</v>
      </c>
      <c r="D355" s="9">
        <v>-1.6399999999999998E-2</v>
      </c>
      <c r="E355" s="9">
        <v>6.7000000000000002E-3</v>
      </c>
      <c r="F355" s="9">
        <v>-7.7000000000000002E-3</v>
      </c>
      <c r="G355" s="9">
        <v>-2E-3</v>
      </c>
      <c r="H355" s="9">
        <v>-1.1000000000000001E-2</v>
      </c>
      <c r="I355" s="10">
        <f t="shared" si="8"/>
        <v>2.9054106380238731E-3</v>
      </c>
    </row>
    <row r="356" spans="1:9" x14ac:dyDescent="0.35">
      <c r="A356" s="8">
        <v>38899</v>
      </c>
      <c r="B356" s="9">
        <v>-3.8E-3</v>
      </c>
      <c r="C356" s="9">
        <v>2.4500000000000001E-2</v>
      </c>
      <c r="D356" s="9">
        <v>3.4000000000000002E-3</v>
      </c>
      <c r="E356" s="9">
        <v>9.7000000000000003E-3</v>
      </c>
      <c r="F356" s="9">
        <v>2.0000000000000001E-4</v>
      </c>
      <c r="G356" s="9">
        <v>1.03E-2</v>
      </c>
      <c r="H356" s="9">
        <v>-8.3000000000000001E-3</v>
      </c>
      <c r="I356" s="10">
        <f t="shared" si="8"/>
        <v>6.6217750266692743E-3</v>
      </c>
    </row>
    <row r="357" spans="1:9" x14ac:dyDescent="0.35">
      <c r="A357" s="8">
        <v>38930</v>
      </c>
      <c r="B357" s="9">
        <v>2.4499999999999997E-2</v>
      </c>
      <c r="C357" s="9">
        <v>1.9599999999999999E-2</v>
      </c>
      <c r="D357" s="9">
        <v>0.05</v>
      </c>
      <c r="E357" s="9">
        <v>3.3799999999999997E-2</v>
      </c>
      <c r="F357" s="9">
        <v>3.4599999999999999E-2</v>
      </c>
      <c r="G357" s="9">
        <v>3.9800000000000002E-2</v>
      </c>
      <c r="H357" s="9">
        <v>1.6799999999999999E-2</v>
      </c>
      <c r="I357" s="10">
        <f t="shared" si="8"/>
        <v>2.2812070334736628E-2</v>
      </c>
    </row>
    <row r="358" spans="1:9" x14ac:dyDescent="0.35">
      <c r="A358" s="8">
        <v>38961</v>
      </c>
      <c r="B358" s="9">
        <v>2.2499999999999999E-2</v>
      </c>
      <c r="C358" s="9">
        <v>-1.5E-3</v>
      </c>
      <c r="D358" s="9">
        <v>-2.5899999999999999E-2</v>
      </c>
      <c r="E358" s="9">
        <v>1.1399999999999999E-2</v>
      </c>
      <c r="F358" s="9">
        <v>2.2099999999999998E-2</v>
      </c>
      <c r="G358" s="9">
        <v>6.7000000000000002E-3</v>
      </c>
      <c r="H358" s="9">
        <v>-1.8799999999999997E-2</v>
      </c>
      <c r="I358" s="10">
        <f t="shared" si="8"/>
        <v>1.0201987112809507E-2</v>
      </c>
    </row>
    <row r="359" spans="1:9" x14ac:dyDescent="0.35">
      <c r="A359" s="8">
        <v>38991</v>
      </c>
      <c r="B359" s="9">
        <v>3.6400000000000002E-2</v>
      </c>
      <c r="C359" s="9">
        <v>5.1799999999999999E-2</v>
      </c>
      <c r="D359" s="9">
        <v>4.9400000000000006E-2</v>
      </c>
      <c r="E359" s="9">
        <v>2.8199999999999999E-2</v>
      </c>
      <c r="F359" s="9">
        <v>0.05</v>
      </c>
      <c r="G359" s="9">
        <v>4.2699999999999995E-2</v>
      </c>
      <c r="H359" s="9">
        <v>1.9400000000000001E-2</v>
      </c>
      <c r="I359" s="10">
        <f t="shared" si="8"/>
        <v>4.0088300312585964E-2</v>
      </c>
    </row>
    <row r="360" spans="1:9" x14ac:dyDescent="0.35">
      <c r="A360" s="8">
        <v>39022</v>
      </c>
      <c r="B360" s="9">
        <v>2.1299999999999999E-2</v>
      </c>
      <c r="C360" s="9">
        <v>2.3700000000000002E-2</v>
      </c>
      <c r="D360" s="9">
        <v>0.03</v>
      </c>
      <c r="E360" s="9">
        <v>3.9399999999999998E-2</v>
      </c>
      <c r="F360" s="9">
        <v>4.8099999999999997E-2</v>
      </c>
      <c r="G360" s="9">
        <v>5.74E-2</v>
      </c>
      <c r="H360" s="9">
        <v>4.5000000000000005E-3</v>
      </c>
      <c r="I360" s="10">
        <f t="shared" si="8"/>
        <v>2.2113486826285871E-2</v>
      </c>
    </row>
    <row r="361" spans="1:9" x14ac:dyDescent="0.35">
      <c r="A361" s="8">
        <v>39052</v>
      </c>
      <c r="B361" s="9">
        <v>1.2699999999999999E-2</v>
      </c>
      <c r="C361" s="9">
        <v>2.8199999999999999E-2</v>
      </c>
      <c r="D361" s="9">
        <v>-5.6000000000000008E-3</v>
      </c>
      <c r="E361" s="9">
        <v>3.85E-2</v>
      </c>
      <c r="F361" s="9">
        <v>4.5700000000000005E-2</v>
      </c>
      <c r="G361" s="9">
        <v>2.7200000000000002E-2</v>
      </c>
      <c r="H361" s="9">
        <v>2.4E-2</v>
      </c>
      <c r="I361" s="10">
        <f t="shared" si="8"/>
        <v>2.0798011269261677E-2</v>
      </c>
    </row>
    <row r="362" spans="1:9" x14ac:dyDescent="0.35">
      <c r="A362" s="8">
        <v>39083</v>
      </c>
      <c r="B362" s="9">
        <v>1.84E-2</v>
      </c>
      <c r="C362" s="9">
        <v>2.3E-3</v>
      </c>
      <c r="D362" s="9">
        <v>2.3999999999999998E-3</v>
      </c>
      <c r="E362" s="9">
        <v>-1.7000000000000001E-3</v>
      </c>
      <c r="F362" s="9">
        <v>1.1200000000000002E-2</v>
      </c>
      <c r="G362" s="9">
        <v>3.2000000000000002E-3</v>
      </c>
      <c r="H362" s="9">
        <v>7.4999999999999997E-3</v>
      </c>
      <c r="I362" s="10">
        <f t="shared" si="8"/>
        <v>1.0645836258304982E-2</v>
      </c>
    </row>
    <row r="363" spans="1:9" x14ac:dyDescent="0.35">
      <c r="A363" s="8">
        <v>39114</v>
      </c>
      <c r="B363" s="9">
        <v>-1.5800000000000002E-2</v>
      </c>
      <c r="C363" s="9">
        <v>-2E-3</v>
      </c>
      <c r="D363" s="9">
        <v>6.8000000000000005E-3</v>
      </c>
      <c r="E363" s="9">
        <v>4.0999999999999995E-3</v>
      </c>
      <c r="F363" s="9">
        <v>7.9000000000000008E-3</v>
      </c>
      <c r="G363" s="9">
        <v>-3.7000000000000002E-3</v>
      </c>
      <c r="H363" s="9">
        <v>4.0099999999999997E-2</v>
      </c>
      <c r="I363" s="10">
        <f t="shared" si="8"/>
        <v>-5.2565926891930993E-3</v>
      </c>
    </row>
    <row r="364" spans="1:9" x14ac:dyDescent="0.35">
      <c r="A364" s="8">
        <v>39142</v>
      </c>
      <c r="B364" s="9">
        <v>1.11E-2</v>
      </c>
      <c r="C364" s="9">
        <v>3.5400000000000001E-2</v>
      </c>
      <c r="D364" s="9">
        <v>2.4900000000000002E-2</v>
      </c>
      <c r="E364" s="9">
        <v>3.9399999999999998E-2</v>
      </c>
      <c r="F364" s="9">
        <v>4.1900000000000007E-2</v>
      </c>
      <c r="G364" s="9">
        <v>2.63E-2</v>
      </c>
      <c r="H364" s="9">
        <v>-1.26E-2</v>
      </c>
      <c r="I364" s="10">
        <f t="shared" si="8"/>
        <v>1.9704645154540588E-2</v>
      </c>
    </row>
    <row r="365" spans="1:9" x14ac:dyDescent="0.35">
      <c r="A365" s="8">
        <v>39173</v>
      </c>
      <c r="B365" s="9">
        <v>3.9300000000000002E-2</v>
      </c>
      <c r="C365" s="9">
        <v>4.1200000000000001E-2</v>
      </c>
      <c r="D365" s="9">
        <v>5.8899999999999994E-2</v>
      </c>
      <c r="E365" s="9">
        <v>7.3499999999999996E-2</v>
      </c>
      <c r="F365" s="9">
        <v>8.9200000000000002E-2</v>
      </c>
      <c r="G365" s="9">
        <v>7.6399999999999996E-2</v>
      </c>
      <c r="H365" s="9">
        <v>-2.1700000000000001E-2</v>
      </c>
      <c r="I365" s="10">
        <f t="shared" si="8"/>
        <v>3.7636453838738745E-2</v>
      </c>
    </row>
    <row r="366" spans="1:9" x14ac:dyDescent="0.35">
      <c r="A366" s="8">
        <v>39203</v>
      </c>
      <c r="B366" s="9">
        <v>3.6500000000000005E-2</v>
      </c>
      <c r="C366" s="9">
        <v>1.9799999999999998E-2</v>
      </c>
      <c r="D366" s="9">
        <v>9.0200000000000002E-2</v>
      </c>
      <c r="E366" s="9">
        <v>2.8199999999999999E-2</v>
      </c>
      <c r="F366" s="9">
        <v>3.78E-2</v>
      </c>
      <c r="G366" s="9">
        <v>-1.1999999999999999E-3</v>
      </c>
      <c r="H366" s="9">
        <v>1.2199999999999999E-2</v>
      </c>
      <c r="I366" s="10">
        <f t="shared" si="8"/>
        <v>2.8263549273980827E-2</v>
      </c>
    </row>
    <row r="367" spans="1:9" x14ac:dyDescent="0.35">
      <c r="A367" s="8">
        <v>39234</v>
      </c>
      <c r="B367" s="9">
        <v>-1.5600000000000001E-2</v>
      </c>
      <c r="C367" s="9">
        <v>1.01E-2</v>
      </c>
      <c r="D367" s="9">
        <v>-8.0000000000000004E-4</v>
      </c>
      <c r="E367" s="9">
        <v>9.1000000000000004E-3</v>
      </c>
      <c r="F367" s="9">
        <v>1.4199999999999999E-2</v>
      </c>
      <c r="G367" s="9">
        <v>-8.0000000000000002E-3</v>
      </c>
      <c r="H367" s="9">
        <v>-1.2999999999999999E-3</v>
      </c>
      <c r="I367" s="10">
        <f t="shared" si="8"/>
        <v>-3.7778625612697593E-3</v>
      </c>
    </row>
    <row r="368" spans="1:9" x14ac:dyDescent="0.35">
      <c r="A368" s="8">
        <v>39264</v>
      </c>
      <c r="B368" s="9">
        <v>-3.3300000000000003E-2</v>
      </c>
      <c r="C368" s="9">
        <v>-2.5399999999999999E-2</v>
      </c>
      <c r="D368" s="9">
        <v>-5.0000000000000001E-3</v>
      </c>
      <c r="E368" s="9">
        <v>-4.0099999999999997E-2</v>
      </c>
      <c r="F368" s="9">
        <v>-3.1300000000000001E-2</v>
      </c>
      <c r="G368" s="9">
        <v>-2.9500000000000002E-2</v>
      </c>
      <c r="H368" s="9">
        <v>-1.9E-3</v>
      </c>
      <c r="I368" s="10">
        <f t="shared" si="8"/>
        <v>-2.8484655579627097E-2</v>
      </c>
    </row>
    <row r="369" spans="1:9" x14ac:dyDescent="0.35">
      <c r="A369" s="8">
        <v>39295</v>
      </c>
      <c r="B369" s="9">
        <v>1.34E-2</v>
      </c>
      <c r="C369" s="9">
        <v>-8.6E-3</v>
      </c>
      <c r="D369" s="9">
        <v>1.1999999999999999E-3</v>
      </c>
      <c r="E369" s="9">
        <v>-1.72E-2</v>
      </c>
      <c r="F369" s="9">
        <v>4.5000000000000005E-3</v>
      </c>
      <c r="G369" s="9">
        <v>-1.1299999999999999E-2</v>
      </c>
      <c r="H369" s="9">
        <v>-3.0299999999999997E-2</v>
      </c>
      <c r="I369" s="10">
        <f t="shared" si="8"/>
        <v>3.8685438559023927E-4</v>
      </c>
    </row>
    <row r="370" spans="1:9" x14ac:dyDescent="0.35">
      <c r="A370" s="8">
        <v>39326</v>
      </c>
      <c r="B370" s="9">
        <v>3.5400000000000001E-2</v>
      </c>
      <c r="C370" s="9">
        <v>3.8100000000000002E-2</v>
      </c>
      <c r="D370" s="9">
        <v>9.4700000000000006E-2</v>
      </c>
      <c r="E370" s="9">
        <v>5.4400000000000004E-2</v>
      </c>
      <c r="F370" s="9">
        <v>7.3399999999999993E-2</v>
      </c>
      <c r="G370" s="9">
        <v>4.6500000000000007E-2</v>
      </c>
      <c r="H370" s="9">
        <v>1.9299999999999998E-2</v>
      </c>
      <c r="I370" s="10">
        <f t="shared" si="8"/>
        <v>3.65057520601067E-2</v>
      </c>
    </row>
    <row r="371" spans="1:9" x14ac:dyDescent="0.35">
      <c r="A371" s="8">
        <v>39356</v>
      </c>
      <c r="B371" s="9">
        <v>2.12E-2</v>
      </c>
      <c r="C371" s="9">
        <v>6.25E-2</v>
      </c>
      <c r="D371" s="9">
        <v>9.5100000000000004E-2</v>
      </c>
      <c r="E371" s="9">
        <v>4.6100000000000002E-2</v>
      </c>
      <c r="F371" s="9">
        <v>4.6399999999999997E-2</v>
      </c>
      <c r="G371" s="9">
        <v>3.7400000000000003E-2</v>
      </c>
      <c r="H371" s="9">
        <v>5.9999999999999995E-4</v>
      </c>
      <c r="I371" s="10">
        <f t="shared" si="8"/>
        <v>3.5768091306257688E-2</v>
      </c>
    </row>
    <row r="372" spans="1:9" x14ac:dyDescent="0.35">
      <c r="A372" s="8">
        <v>39387</v>
      </c>
      <c r="B372" s="9">
        <v>-4.4900000000000002E-2</v>
      </c>
      <c r="C372" s="9">
        <v>-5.4299999999999994E-2</v>
      </c>
      <c r="D372" s="9">
        <v>-0.1109</v>
      </c>
      <c r="E372" s="9">
        <v>-1.9400000000000001E-2</v>
      </c>
      <c r="F372" s="9">
        <v>-2.1600000000000001E-2</v>
      </c>
      <c r="G372" s="9">
        <v>-3.2899999999999999E-2</v>
      </c>
      <c r="H372" s="9">
        <v>-1.83E-2</v>
      </c>
      <c r="I372" s="10">
        <f t="shared" si="8"/>
        <v>-4.4439487555985251E-2</v>
      </c>
    </row>
    <row r="373" spans="1:9" x14ac:dyDescent="0.35">
      <c r="A373" s="8">
        <v>39417</v>
      </c>
      <c r="B373" s="9">
        <v>-6.0000000000000001E-3</v>
      </c>
      <c r="C373" s="9">
        <v>-2.9700000000000001E-2</v>
      </c>
      <c r="D373" s="9">
        <v>1.67E-2</v>
      </c>
      <c r="E373" s="9">
        <v>-1.43E-2</v>
      </c>
      <c r="F373" s="9">
        <v>4.7999999999999996E-3</v>
      </c>
      <c r="G373" s="9">
        <v>-1.2699999999999999E-2</v>
      </c>
      <c r="H373" s="9">
        <v>-3.4099999999999998E-2</v>
      </c>
      <c r="I373" s="10">
        <f t="shared" si="8"/>
        <v>-1.6921448912827909E-2</v>
      </c>
    </row>
    <row r="374" spans="1:9" x14ac:dyDescent="0.35">
      <c r="A374" s="8">
        <v>39448</v>
      </c>
      <c r="B374" s="9">
        <v>-6.1500000000000006E-2</v>
      </c>
      <c r="C374" s="9">
        <v>-8.4100000000000008E-2</v>
      </c>
      <c r="D374" s="9">
        <v>-5.9200000000000003E-2</v>
      </c>
      <c r="E374" s="9">
        <v>-0.11509999999999999</v>
      </c>
      <c r="F374" s="9">
        <v>-9.9900000000000003E-2</v>
      </c>
      <c r="G374" s="9">
        <v>-9.9600000000000008E-2</v>
      </c>
      <c r="H374" s="9">
        <v>-4.6900000000000004E-2</v>
      </c>
      <c r="I374" s="10">
        <f t="shared" si="8"/>
        <v>-7.1787107900321362E-2</v>
      </c>
    </row>
    <row r="375" spans="1:9" x14ac:dyDescent="0.35">
      <c r="A375" s="8">
        <v>39479</v>
      </c>
      <c r="B375" s="9">
        <v>-2.9600000000000001E-2</v>
      </c>
      <c r="C375" s="9">
        <v>1.24E-2</v>
      </c>
      <c r="D375" s="9">
        <v>4.8799999999999996E-2</v>
      </c>
      <c r="E375" s="9">
        <v>4.5999999999999999E-3</v>
      </c>
      <c r="F375" s="9">
        <v>1.21E-2</v>
      </c>
      <c r="G375" s="9">
        <v>1.1000000000000001E-2</v>
      </c>
      <c r="H375" s="9">
        <v>1.1299999999999999E-2</v>
      </c>
      <c r="I375" s="10">
        <f t="shared" si="8"/>
        <v>-9.3385829446828248E-3</v>
      </c>
    </row>
    <row r="376" spans="1:9" x14ac:dyDescent="0.35">
      <c r="A376" s="8">
        <v>39508</v>
      </c>
      <c r="B376" s="9">
        <v>-7.6E-3</v>
      </c>
      <c r="C376" s="9">
        <v>-2.5099999999999997E-2</v>
      </c>
      <c r="D376" s="9">
        <v>-5.28E-2</v>
      </c>
      <c r="E376" s="9">
        <v>1.32E-2</v>
      </c>
      <c r="F376" s="9">
        <v>1.66E-2</v>
      </c>
      <c r="G376" s="9">
        <v>-1.7000000000000001E-2</v>
      </c>
      <c r="H376" s="9">
        <v>-3.56E-2</v>
      </c>
      <c r="I376" s="10">
        <f t="shared" si="8"/>
        <v>-1.4496010653757921E-2</v>
      </c>
    </row>
    <row r="377" spans="1:9" x14ac:dyDescent="0.35">
      <c r="A377" s="8">
        <v>39539</v>
      </c>
      <c r="B377" s="9">
        <v>4.7799999999999995E-2</v>
      </c>
      <c r="C377" s="9">
        <v>6.3200000000000006E-2</v>
      </c>
      <c r="D377" s="9">
        <v>6.4600000000000005E-2</v>
      </c>
      <c r="E377" s="9">
        <v>5.7099999999999998E-2</v>
      </c>
      <c r="F377" s="9">
        <v>3.9300000000000002E-2</v>
      </c>
      <c r="G377" s="9">
        <v>5.7099999999999998E-2</v>
      </c>
      <c r="H377" s="9">
        <v>6.4000000000000001E-2</v>
      </c>
      <c r="I377" s="10">
        <f t="shared" si="8"/>
        <v>5.4961052601396707E-2</v>
      </c>
    </row>
    <row r="378" spans="1:9" x14ac:dyDescent="0.35">
      <c r="A378" s="8">
        <v>39569</v>
      </c>
      <c r="B378" s="9">
        <v>2.0400000000000001E-2</v>
      </c>
      <c r="C378" s="9">
        <v>1E-4</v>
      </c>
      <c r="D378" s="9">
        <v>6.9599999999999995E-2</v>
      </c>
      <c r="E378" s="9">
        <v>1.6799999999999999E-2</v>
      </c>
      <c r="F378" s="9">
        <v>1.7500000000000002E-2</v>
      </c>
      <c r="G378" s="9">
        <v>1.5700000000000002E-2</v>
      </c>
      <c r="H378" s="9">
        <v>2.2200000000000001E-2</v>
      </c>
      <c r="I378" s="10">
        <f t="shared" si="8"/>
        <v>1.3178643800821132E-2</v>
      </c>
    </row>
    <row r="379" spans="1:9" x14ac:dyDescent="0.35">
      <c r="A379" s="8">
        <v>39600</v>
      </c>
      <c r="B379" s="9">
        <v>-8.2699999999999996E-2</v>
      </c>
      <c r="C379" s="9">
        <v>-6.480000000000001E-2</v>
      </c>
      <c r="D379" s="9">
        <v>-4.4699999999999997E-2</v>
      </c>
      <c r="E379" s="9">
        <v>-0.10189999999999999</v>
      </c>
      <c r="F379" s="9">
        <v>-7.2099999999999997E-2</v>
      </c>
      <c r="G379" s="9">
        <v>-9.5299999999999996E-2</v>
      </c>
      <c r="H379" s="9">
        <v>-6.4399999999999999E-2</v>
      </c>
      <c r="I379" s="10">
        <f t="shared" si="8"/>
        <v>-7.607617502700674E-2</v>
      </c>
    </row>
    <row r="380" spans="1:9" x14ac:dyDescent="0.35">
      <c r="A380" s="8">
        <v>39630</v>
      </c>
      <c r="B380" s="9">
        <v>-6.1999999999999998E-3</v>
      </c>
      <c r="C380" s="9">
        <v>-4.4999999999999998E-2</v>
      </c>
      <c r="D380" s="9">
        <v>-6.25E-2</v>
      </c>
      <c r="E380" s="9">
        <v>-2.5600000000000001E-2</v>
      </c>
      <c r="F380" s="9">
        <v>-1.66E-2</v>
      </c>
      <c r="G380" s="9">
        <v>-5.2499999999999998E-2</v>
      </c>
      <c r="H380" s="9">
        <v>-2.98E-2</v>
      </c>
      <c r="I380" s="10">
        <f t="shared" si="8"/>
        <v>-2.2887100476049391E-2</v>
      </c>
    </row>
    <row r="381" spans="1:9" x14ac:dyDescent="0.35">
      <c r="A381" s="8">
        <v>39661</v>
      </c>
      <c r="B381" s="9">
        <v>1.66E-2</v>
      </c>
      <c r="C381" s="9">
        <v>-3.9300000000000002E-2</v>
      </c>
      <c r="D381" s="9">
        <v>-2.29E-2</v>
      </c>
      <c r="E381" s="9">
        <v>-3.1600000000000003E-2</v>
      </c>
      <c r="F381" s="9">
        <v>-6.1900000000000004E-2</v>
      </c>
      <c r="G381" s="9">
        <v>-4.1200000000000001E-2</v>
      </c>
      <c r="H381" s="9">
        <v>-4.2800000000000005E-2</v>
      </c>
      <c r="I381" s="10">
        <f t="shared" si="8"/>
        <v>-1.1074701335183998E-2</v>
      </c>
    </row>
    <row r="382" spans="1:9" x14ac:dyDescent="0.35">
      <c r="A382" s="8">
        <v>39692</v>
      </c>
      <c r="B382" s="9">
        <v>-9.0899999999999995E-2</v>
      </c>
      <c r="C382" s="9">
        <v>-0.153</v>
      </c>
      <c r="D382" s="9">
        <v>-0.1454</v>
      </c>
      <c r="E382" s="9">
        <v>-0.1285</v>
      </c>
      <c r="F382" s="9">
        <v>-0.115</v>
      </c>
      <c r="G382" s="9">
        <v>-0.15060000000000001</v>
      </c>
      <c r="H382" s="9">
        <v>-0.10369999999999999</v>
      </c>
      <c r="I382" s="10">
        <f t="shared" si="8"/>
        <v>-0.11611543720787887</v>
      </c>
    </row>
    <row r="383" spans="1:9" x14ac:dyDescent="0.35">
      <c r="A383" s="8">
        <v>39722</v>
      </c>
      <c r="B383" s="9">
        <v>-0.17150000000000001</v>
      </c>
      <c r="C383" s="9">
        <v>-0.20430000000000001</v>
      </c>
      <c r="D383" s="9">
        <v>-0.26899999999999996</v>
      </c>
      <c r="E383" s="9">
        <v>-0.21609999999999999</v>
      </c>
      <c r="F383" s="9">
        <v>-0.20629999999999998</v>
      </c>
      <c r="G383" s="9">
        <v>-0.23649999999999999</v>
      </c>
      <c r="H383" s="9">
        <v>-0.13390000000000002</v>
      </c>
      <c r="I383" s="10">
        <f t="shared" si="8"/>
        <v>-0.18301597682682882</v>
      </c>
    </row>
    <row r="384" spans="1:9" x14ac:dyDescent="0.35">
      <c r="A384" s="8">
        <v>39753</v>
      </c>
      <c r="B384" s="9">
        <v>-7.8299999999999995E-2</v>
      </c>
      <c r="C384" s="9">
        <v>-5.9800000000000006E-2</v>
      </c>
      <c r="D384" s="9">
        <v>-6.7500000000000004E-2</v>
      </c>
      <c r="E384" s="9">
        <v>-5.9500000000000004E-2</v>
      </c>
      <c r="F384" s="9">
        <v>-0.10199999999999999</v>
      </c>
      <c r="G384" s="9">
        <v>-5.4800000000000001E-2</v>
      </c>
      <c r="H384" s="9">
        <v>2.9999999999999997E-4</v>
      </c>
      <c r="I384" s="10">
        <f t="shared" si="8"/>
        <v>-6.4743900333639096E-2</v>
      </c>
    </row>
    <row r="385" spans="1:9" x14ac:dyDescent="0.35">
      <c r="A385" s="8">
        <v>39783</v>
      </c>
      <c r="B385" s="9">
        <v>1.7399999999999999E-2</v>
      </c>
      <c r="C385" s="9">
        <v>-1.49E-2</v>
      </c>
      <c r="D385" s="9">
        <v>-5.7999999999999996E-3</v>
      </c>
      <c r="E385" s="9">
        <v>9.3200000000000005E-2</v>
      </c>
      <c r="F385" s="9">
        <v>0.12570000000000001</v>
      </c>
      <c r="G385" s="9">
        <v>7.0900000000000005E-2</v>
      </c>
      <c r="H385" s="9">
        <v>8.4499999999999992E-2</v>
      </c>
      <c r="I385" s="10">
        <f t="shared" si="8"/>
        <v>1.6584311849619213E-2</v>
      </c>
    </row>
    <row r="386" spans="1:9" x14ac:dyDescent="0.35">
      <c r="A386" s="8">
        <v>39814</v>
      </c>
      <c r="B386" s="9">
        <v>-8.1199999999999994E-2</v>
      </c>
      <c r="C386" s="9">
        <v>-6.4399999999999999E-2</v>
      </c>
      <c r="D386" s="9">
        <v>-2.8399999999999998E-2</v>
      </c>
      <c r="E386" s="9">
        <v>-0.1452</v>
      </c>
      <c r="F386" s="9">
        <v>-0.15620000000000001</v>
      </c>
      <c r="G386" s="9">
        <v>-0.13390000000000002</v>
      </c>
      <c r="H386" s="9">
        <v>-6.4600000000000005E-2</v>
      </c>
      <c r="I386" s="10">
        <f t="shared" ref="I386:I445" si="9">SUMPRODUCT(B386:H386,$M$5:$S$5)</f>
        <v>-7.8385459886521708E-2</v>
      </c>
    </row>
    <row r="387" spans="1:9" x14ac:dyDescent="0.35">
      <c r="A387" s="8">
        <v>39845</v>
      </c>
      <c r="B387" s="9">
        <v>-0.1009</v>
      </c>
      <c r="C387" s="9">
        <v>-7.3899999999999993E-2</v>
      </c>
      <c r="D387" s="9">
        <v>-9.6999999999999989E-2</v>
      </c>
      <c r="E387" s="9">
        <v>-0.10589999999999999</v>
      </c>
      <c r="F387" s="9">
        <v>-0.11609999999999999</v>
      </c>
      <c r="G387" s="9">
        <v>-0.13019999999999998</v>
      </c>
      <c r="H387" s="9">
        <v>-0.1198</v>
      </c>
      <c r="I387" s="10">
        <f t="shared" si="9"/>
        <v>-9.3297936967580763E-2</v>
      </c>
    </row>
    <row r="388" spans="1:9" x14ac:dyDescent="0.35">
      <c r="A388" s="8">
        <v>39873</v>
      </c>
      <c r="B388" s="9">
        <v>8.9699999999999988E-2</v>
      </c>
      <c r="C388" s="9">
        <v>3.4799999999999998E-2</v>
      </c>
      <c r="D388" s="9">
        <v>8.77E-2</v>
      </c>
      <c r="E388" s="9">
        <v>7.7699999999999991E-2</v>
      </c>
      <c r="F388" s="9">
        <v>0.1012</v>
      </c>
      <c r="G388" s="9">
        <v>7.1800000000000003E-2</v>
      </c>
      <c r="H388" s="9">
        <v>1.4800000000000001E-2</v>
      </c>
      <c r="I388" s="10">
        <f t="shared" si="9"/>
        <v>6.3978885612295325E-2</v>
      </c>
    </row>
    <row r="389" spans="1:9" x14ac:dyDescent="0.35">
      <c r="A389" s="8">
        <v>39904</v>
      </c>
      <c r="B389" s="9">
        <v>0.10199999999999999</v>
      </c>
      <c r="C389" s="9">
        <v>0.13830000000000001</v>
      </c>
      <c r="D389" s="9">
        <v>0.1358</v>
      </c>
      <c r="E389" s="9">
        <v>0.13539999999999999</v>
      </c>
      <c r="F389" s="9">
        <v>0.13600000000000001</v>
      </c>
      <c r="G389" s="9">
        <v>0.1825</v>
      </c>
      <c r="H389" s="9">
        <v>0.08</v>
      </c>
      <c r="I389" s="10">
        <f t="shared" si="9"/>
        <v>0.11527687166477973</v>
      </c>
    </row>
    <row r="390" spans="1:9" x14ac:dyDescent="0.35">
      <c r="A390" s="8">
        <v>39934</v>
      </c>
      <c r="B390" s="9">
        <v>5.21E-2</v>
      </c>
      <c r="C390" s="9">
        <v>0.1426</v>
      </c>
      <c r="D390" s="9">
        <v>0.21719999999999998</v>
      </c>
      <c r="E390" s="9">
        <v>0.11939999999999999</v>
      </c>
      <c r="F390" s="9">
        <v>0.1081</v>
      </c>
      <c r="G390" s="9">
        <v>0.1305</v>
      </c>
      <c r="H390" s="9">
        <v>0.109</v>
      </c>
      <c r="I390" s="10">
        <f t="shared" si="9"/>
        <v>9.2713124710852635E-2</v>
      </c>
    </row>
    <row r="391" spans="1:9" x14ac:dyDescent="0.35">
      <c r="A391" s="8">
        <v>39965</v>
      </c>
      <c r="B391" s="9">
        <v>4.4000000000000003E-3</v>
      </c>
      <c r="C391" s="9">
        <v>-1.29E-2</v>
      </c>
      <c r="D391" s="9">
        <v>-5.91E-2</v>
      </c>
      <c r="E391" s="9">
        <v>-3.7100000000000001E-2</v>
      </c>
      <c r="F391" s="9">
        <v>-2.1400000000000002E-2</v>
      </c>
      <c r="G391" s="9">
        <v>-3.4700000000000002E-2</v>
      </c>
      <c r="H391" s="9">
        <v>2.8999999999999998E-2</v>
      </c>
      <c r="I391" s="10">
        <f t="shared" si="9"/>
        <v>-2.4357446397201906E-3</v>
      </c>
    </row>
    <row r="392" spans="1:9" x14ac:dyDescent="0.35">
      <c r="A392" s="8">
        <v>39995</v>
      </c>
      <c r="B392" s="9">
        <v>7.7299999999999994E-2</v>
      </c>
      <c r="C392" s="9">
        <v>0.1</v>
      </c>
      <c r="D392" s="9">
        <v>0.12130000000000001</v>
      </c>
      <c r="E392" s="9">
        <v>9.9000000000000005E-2</v>
      </c>
      <c r="F392" s="9">
        <v>0.10550000000000001</v>
      </c>
      <c r="G392" s="9">
        <v>7.9500000000000001E-2</v>
      </c>
      <c r="H392" s="9">
        <v>4.0399999999999998E-2</v>
      </c>
      <c r="I392" s="10">
        <f t="shared" si="9"/>
        <v>8.3903960945598974E-2</v>
      </c>
    </row>
    <row r="393" spans="1:9" x14ac:dyDescent="0.35">
      <c r="A393" s="8">
        <v>40026</v>
      </c>
      <c r="B393" s="9">
        <v>3.3399999999999999E-2</v>
      </c>
      <c r="C393" s="9">
        <v>4.82E-2</v>
      </c>
      <c r="D393" s="9">
        <v>-4.3E-3</v>
      </c>
      <c r="E393" s="9">
        <v>8.3499999999999991E-2</v>
      </c>
      <c r="F393" s="9">
        <v>8.6E-3</v>
      </c>
      <c r="G393" s="9">
        <v>7.7100000000000002E-2</v>
      </c>
      <c r="H393" s="9">
        <v>3.4099999999999998E-2</v>
      </c>
      <c r="I393" s="10">
        <f t="shared" si="9"/>
        <v>4.1483425389249574E-2</v>
      </c>
    </row>
    <row r="394" spans="1:9" x14ac:dyDescent="0.35">
      <c r="A394" s="8">
        <v>40057</v>
      </c>
      <c r="B394" s="9">
        <v>4.0899999999999999E-2</v>
      </c>
      <c r="C394" s="9">
        <v>2.87E-2</v>
      </c>
      <c r="D394" s="9">
        <v>7.5700000000000003E-2</v>
      </c>
      <c r="E394" s="9">
        <v>7.0699999999999999E-2</v>
      </c>
      <c r="F394" s="9">
        <v>6.3299999999999995E-2</v>
      </c>
      <c r="G394" s="9">
        <v>7.4400000000000008E-2</v>
      </c>
      <c r="H394" s="9">
        <v>-7.7000000000000002E-3</v>
      </c>
      <c r="I394" s="10">
        <f t="shared" si="9"/>
        <v>3.4793101491262191E-2</v>
      </c>
    </row>
    <row r="395" spans="1:9" x14ac:dyDescent="0.35">
      <c r="A395" s="8">
        <v>40087</v>
      </c>
      <c r="B395" s="9">
        <v>-2.5899999999999999E-2</v>
      </c>
      <c r="C395" s="9">
        <v>1.23E-2</v>
      </c>
      <c r="D395" s="9">
        <v>-5.1100000000000007E-2</v>
      </c>
      <c r="E395" s="9">
        <v>-3.85E-2</v>
      </c>
      <c r="F395" s="9">
        <v>-4.1500000000000002E-2</v>
      </c>
      <c r="G395" s="9">
        <v>-4.5599999999999995E-2</v>
      </c>
      <c r="H395" s="9">
        <v>-2.3900000000000001E-2</v>
      </c>
      <c r="I395" s="10">
        <f t="shared" si="9"/>
        <v>-1.3204268305817569E-2</v>
      </c>
    </row>
    <row r="396" spans="1:9" x14ac:dyDescent="0.35">
      <c r="A396" s="8">
        <v>40118</v>
      </c>
      <c r="B396" s="9">
        <v>5.5599999999999997E-2</v>
      </c>
      <c r="C396" s="9">
        <v>2.92E-2</v>
      </c>
      <c r="D396" s="9">
        <v>7.8E-2</v>
      </c>
      <c r="E396" s="9">
        <v>3.0600000000000002E-2</v>
      </c>
      <c r="F396" s="9">
        <v>5.5999999999999994E-2</v>
      </c>
      <c r="G396" s="9">
        <v>1.6299999999999999E-2</v>
      </c>
      <c r="H396" s="9">
        <v>-2.0299999999999999E-2</v>
      </c>
      <c r="I396" s="10">
        <f t="shared" si="9"/>
        <v>3.8945007107513432E-2</v>
      </c>
    </row>
    <row r="397" spans="1:9" x14ac:dyDescent="0.35">
      <c r="A397" s="8">
        <v>40148</v>
      </c>
      <c r="B397" s="9">
        <v>2.76E-2</v>
      </c>
      <c r="C397" s="9">
        <v>2.5399999999999999E-2</v>
      </c>
      <c r="D397" s="9">
        <v>4.0399999999999998E-2</v>
      </c>
      <c r="E397" s="9">
        <v>1.3000000000000001E-2</v>
      </c>
      <c r="F397" s="9">
        <v>5.5000000000000005E-3</v>
      </c>
      <c r="G397" s="9">
        <v>8.3999999999999995E-3</v>
      </c>
      <c r="H397" s="9">
        <v>3.0000000000000001E-3</v>
      </c>
      <c r="I397" s="10">
        <f t="shared" si="9"/>
        <v>2.3886625256527249E-2</v>
      </c>
    </row>
    <row r="398" spans="1:9" x14ac:dyDescent="0.35">
      <c r="A398" s="8">
        <v>40179</v>
      </c>
      <c r="B398" s="9">
        <v>-3.3599999999999998E-2</v>
      </c>
      <c r="C398" s="9">
        <v>-4.3400000000000001E-2</v>
      </c>
      <c r="D398" s="9">
        <v>-6.1399999999999996E-2</v>
      </c>
      <c r="E398" s="9">
        <v>-6.4299999999999996E-2</v>
      </c>
      <c r="F398" s="9">
        <v>-7.51E-2</v>
      </c>
      <c r="G398" s="9">
        <v>-7.1500000000000008E-2</v>
      </c>
      <c r="H398" s="9">
        <v>2.3599999999999999E-2</v>
      </c>
      <c r="I398" s="10">
        <f t="shared" si="9"/>
        <v>-3.4734832878514969E-2</v>
      </c>
    </row>
    <row r="399" spans="1:9" x14ac:dyDescent="0.35">
      <c r="A399" s="8">
        <v>40210</v>
      </c>
      <c r="B399" s="9">
        <v>3.4000000000000002E-2</v>
      </c>
      <c r="C399" s="9">
        <v>-1.41E-2</v>
      </c>
      <c r="D399" s="9">
        <v>6.6100000000000006E-2</v>
      </c>
      <c r="E399" s="9">
        <v>-2.5600000000000001E-2</v>
      </c>
      <c r="F399" s="9">
        <v>-2.06E-2</v>
      </c>
      <c r="G399" s="9">
        <v>-5.3499999999999999E-2</v>
      </c>
      <c r="H399" s="9">
        <v>6.8999999999999999E-3</v>
      </c>
      <c r="I399" s="10">
        <f t="shared" si="9"/>
        <v>1.1052813671141365E-2</v>
      </c>
    </row>
    <row r="400" spans="1:9" x14ac:dyDescent="0.35">
      <c r="A400" s="8">
        <v>40238</v>
      </c>
      <c r="B400" s="9">
        <v>6.3199999999999992E-2</v>
      </c>
      <c r="C400" s="9">
        <v>6.59E-2</v>
      </c>
      <c r="D400" s="9">
        <v>7.5800000000000006E-2</v>
      </c>
      <c r="E400" s="9">
        <v>6.0700000000000004E-2</v>
      </c>
      <c r="F400" s="9">
        <v>7.9500000000000001E-2</v>
      </c>
      <c r="G400" s="9">
        <v>6.6299999999999998E-2</v>
      </c>
      <c r="H400" s="9">
        <v>4.8399999999999999E-2</v>
      </c>
      <c r="I400" s="10">
        <f t="shared" si="9"/>
        <v>6.2963128638887478E-2</v>
      </c>
    </row>
    <row r="401" spans="1:9" x14ac:dyDescent="0.35">
      <c r="A401" s="8">
        <v>40269</v>
      </c>
      <c r="B401" s="9">
        <v>2.0099999999999996E-2</v>
      </c>
      <c r="C401" s="9">
        <v>-4.3E-3</v>
      </c>
      <c r="D401" s="9">
        <v>1.5100000000000001E-2</v>
      </c>
      <c r="E401" s="9">
        <v>-3.5499999999999997E-2</v>
      </c>
      <c r="F401" s="9">
        <v>-1.38E-2</v>
      </c>
      <c r="G401" s="9">
        <v>-5.6299999999999996E-2</v>
      </c>
      <c r="H401" s="9">
        <v>5.7999999999999996E-3</v>
      </c>
      <c r="I401" s="10">
        <f t="shared" si="9"/>
        <v>6.8495487574705971E-3</v>
      </c>
    </row>
    <row r="402" spans="1:9" x14ac:dyDescent="0.35">
      <c r="A402" s="8">
        <v>40299</v>
      </c>
      <c r="B402" s="9">
        <v>-7.8799999999999995E-2</v>
      </c>
      <c r="C402" s="9">
        <v>-0.11</v>
      </c>
      <c r="D402" s="9">
        <v>-6.2800000000000009E-2</v>
      </c>
      <c r="E402" s="9">
        <v>-0.1231</v>
      </c>
      <c r="F402" s="9">
        <v>-9.8900000000000002E-2</v>
      </c>
      <c r="G402" s="9">
        <v>-0.1381</v>
      </c>
      <c r="H402" s="9">
        <v>-7.9199999999999993E-2</v>
      </c>
      <c r="I402" s="10">
        <f t="shared" si="9"/>
        <v>-9.2582640446609535E-2</v>
      </c>
    </row>
    <row r="403" spans="1:9" x14ac:dyDescent="0.35">
      <c r="A403" s="8">
        <v>40330</v>
      </c>
      <c r="B403" s="9">
        <v>-5.5500000000000001E-2</v>
      </c>
      <c r="C403" s="9">
        <v>-1.9900000000000001E-2</v>
      </c>
      <c r="D403" s="9">
        <v>-5.3399999999999996E-2</v>
      </c>
      <c r="E403" s="9">
        <v>-1.8600000000000002E-2</v>
      </c>
      <c r="F403" s="9">
        <v>-2E-3</v>
      </c>
      <c r="G403" s="9">
        <v>-1.83E-2</v>
      </c>
      <c r="H403" s="9">
        <v>-7.3000000000000001E-3</v>
      </c>
      <c r="I403" s="10">
        <f t="shared" si="9"/>
        <v>-3.6673180750599894E-2</v>
      </c>
    </row>
    <row r="404" spans="1:9" x14ac:dyDescent="0.35">
      <c r="A404" s="8">
        <v>40360</v>
      </c>
      <c r="B404" s="9">
        <v>6.9399999999999989E-2</v>
      </c>
      <c r="C404" s="9">
        <v>0.1283</v>
      </c>
      <c r="D404" s="9">
        <v>7.6399999999999996E-2</v>
      </c>
      <c r="E404" s="9">
        <v>0.1234</v>
      </c>
      <c r="F404" s="9">
        <v>9.7100000000000006E-2</v>
      </c>
      <c r="G404" s="9">
        <v>0.14429999999999998</v>
      </c>
      <c r="H404" s="9">
        <v>2.9700000000000001E-2</v>
      </c>
      <c r="I404" s="10">
        <f t="shared" si="9"/>
        <v>9.0427784040070319E-2</v>
      </c>
    </row>
    <row r="405" spans="1:9" x14ac:dyDescent="0.35">
      <c r="A405" s="8">
        <v>40391</v>
      </c>
      <c r="B405" s="9">
        <v>-4.7599999999999996E-2</v>
      </c>
      <c r="C405" s="9">
        <v>-2.63E-2</v>
      </c>
      <c r="D405" s="9">
        <v>-1.95E-2</v>
      </c>
      <c r="E405" s="9">
        <v>-6.0899999999999996E-2</v>
      </c>
      <c r="F405" s="9">
        <v>-5.5800000000000002E-2</v>
      </c>
      <c r="G405" s="9">
        <v>-7.2700000000000001E-2</v>
      </c>
      <c r="H405" s="9">
        <v>-2.4700000000000003E-2</v>
      </c>
      <c r="I405" s="10">
        <f t="shared" si="9"/>
        <v>-3.9203462845922604E-2</v>
      </c>
    </row>
    <row r="406" spans="1:9" x14ac:dyDescent="0.35">
      <c r="A406" s="8">
        <v>40422</v>
      </c>
      <c r="B406" s="9">
        <v>9.5499999999999988E-2</v>
      </c>
      <c r="C406" s="9">
        <v>9.4299999999999995E-2</v>
      </c>
      <c r="D406" s="9">
        <v>8.2100000000000006E-2</v>
      </c>
      <c r="E406" s="9">
        <v>0.14499999999999999</v>
      </c>
      <c r="F406" s="9">
        <v>0.1363</v>
      </c>
      <c r="G406" s="9">
        <v>0.12689999999999999</v>
      </c>
      <c r="H406" s="9">
        <v>4.6799999999999994E-2</v>
      </c>
      <c r="I406" s="10">
        <f t="shared" si="9"/>
        <v>9.4558170246900511E-2</v>
      </c>
    </row>
    <row r="407" spans="1:9" x14ac:dyDescent="0.35">
      <c r="A407" s="8">
        <v>40452</v>
      </c>
      <c r="B407" s="9">
        <v>3.8899999999999997E-2</v>
      </c>
      <c r="C407" s="9">
        <v>4.3099999999999999E-2</v>
      </c>
      <c r="D407" s="9">
        <v>3.8199999999999998E-2</v>
      </c>
      <c r="E407" s="9">
        <v>6.0199999999999997E-2</v>
      </c>
      <c r="F407" s="9">
        <v>7.8600000000000003E-2</v>
      </c>
      <c r="G407" s="9">
        <v>6.8400000000000002E-2</v>
      </c>
      <c r="H407" s="9">
        <v>1.2699999999999999E-2</v>
      </c>
      <c r="I407" s="10">
        <f t="shared" si="9"/>
        <v>3.9898343751334116E-2</v>
      </c>
    </row>
    <row r="408" spans="1:9" x14ac:dyDescent="0.35">
      <c r="A408" s="8">
        <v>40483</v>
      </c>
      <c r="B408" s="9">
        <v>6.0999999999999995E-3</v>
      </c>
      <c r="C408" s="9">
        <v>-5.0300000000000004E-2</v>
      </c>
      <c r="D408" s="9">
        <v>1.7899999999999999E-2</v>
      </c>
      <c r="E408" s="9">
        <v>-0.11070000000000001</v>
      </c>
      <c r="F408" s="9">
        <v>-5.6100000000000004E-2</v>
      </c>
      <c r="G408" s="9">
        <v>-0.15</v>
      </c>
      <c r="H408" s="9">
        <v>1.9299999999999998E-2</v>
      </c>
      <c r="I408" s="10">
        <f t="shared" si="9"/>
        <v>-2.0120921610976752E-2</v>
      </c>
    </row>
    <row r="409" spans="1:9" x14ac:dyDescent="0.35">
      <c r="A409" s="8">
        <v>40513</v>
      </c>
      <c r="B409" s="9">
        <v>6.83E-2</v>
      </c>
      <c r="C409" s="9">
        <v>7.85E-2</v>
      </c>
      <c r="D409" s="9">
        <v>7.4400000000000008E-2</v>
      </c>
      <c r="E409" s="9">
        <v>8.1300000000000011E-2</v>
      </c>
      <c r="F409" s="9">
        <v>7.9500000000000001E-2</v>
      </c>
      <c r="G409" s="9">
        <v>9.4E-2</v>
      </c>
      <c r="H409" s="9">
        <v>7.5300000000000006E-2</v>
      </c>
      <c r="I409" s="10">
        <f t="shared" si="9"/>
        <v>7.3282453846980442E-2</v>
      </c>
    </row>
    <row r="410" spans="1:9" x14ac:dyDescent="0.35">
      <c r="A410" s="8">
        <v>40544</v>
      </c>
      <c r="B410" s="9">
        <v>0.02</v>
      </c>
      <c r="C410" s="9">
        <v>1.83E-2</v>
      </c>
      <c r="D410" s="9">
        <v>8.0000000000000002E-3</v>
      </c>
      <c r="E410" s="9">
        <v>6.5199999999999994E-2</v>
      </c>
      <c r="F410" s="9">
        <v>3.0899999999999997E-2</v>
      </c>
      <c r="G410" s="9">
        <v>8.8599999999999998E-2</v>
      </c>
      <c r="H410" s="9">
        <v>3.7000000000000002E-3</v>
      </c>
      <c r="I410" s="10">
        <f t="shared" si="9"/>
        <v>2.0929350711200931E-2</v>
      </c>
    </row>
    <row r="411" spans="1:9" x14ac:dyDescent="0.35">
      <c r="A411" s="8">
        <v>40575</v>
      </c>
      <c r="B411" s="9">
        <v>3.5000000000000003E-2</v>
      </c>
      <c r="C411" s="9">
        <v>3.9100000000000003E-2</v>
      </c>
      <c r="D411" s="9">
        <v>7.46E-2</v>
      </c>
      <c r="E411" s="9">
        <v>3.4300000000000004E-2</v>
      </c>
      <c r="F411" s="9">
        <v>2.92E-2</v>
      </c>
      <c r="G411" s="9">
        <v>2.41E-2</v>
      </c>
      <c r="H411" s="9">
        <v>4.7899999999999998E-2</v>
      </c>
      <c r="I411" s="10">
        <f t="shared" si="9"/>
        <v>3.7357432715867785E-2</v>
      </c>
    </row>
    <row r="412" spans="1:9" x14ac:dyDescent="0.35">
      <c r="A412" s="8">
        <v>40603</v>
      </c>
      <c r="B412" s="9">
        <v>4.5999999999999999E-3</v>
      </c>
      <c r="C412" s="9">
        <v>-2.4500000000000001E-2</v>
      </c>
      <c r="D412" s="9">
        <v>-7.000000000000001E-4</v>
      </c>
      <c r="E412" s="9">
        <v>-5.0000000000000001E-4</v>
      </c>
      <c r="F412" s="9">
        <v>6.4000000000000003E-3</v>
      </c>
      <c r="G412" s="9">
        <v>8.1000000000000013E-3</v>
      </c>
      <c r="H412" s="9">
        <v>-8.7100000000000011E-2</v>
      </c>
      <c r="I412" s="10">
        <f t="shared" si="9"/>
        <v>-1.3023927228127915E-2</v>
      </c>
    </row>
    <row r="413" spans="1:9" x14ac:dyDescent="0.35">
      <c r="A413" s="8">
        <v>40634</v>
      </c>
      <c r="B413" s="9">
        <v>2.8999999999999998E-2</v>
      </c>
      <c r="C413" s="9">
        <v>7.4800000000000005E-2</v>
      </c>
      <c r="D413" s="9">
        <v>1.9199999999999998E-2</v>
      </c>
      <c r="E413" s="9">
        <v>8.0399999999999985E-2</v>
      </c>
      <c r="F413" s="9">
        <v>9.9100000000000008E-2</v>
      </c>
      <c r="G413" s="9">
        <v>8.8699999999999987E-2</v>
      </c>
      <c r="H413" s="9">
        <v>7.7000000000000002E-3</v>
      </c>
      <c r="I413" s="10">
        <f t="shared" si="9"/>
        <v>4.6999699687432672E-2</v>
      </c>
    </row>
    <row r="414" spans="1:9" x14ac:dyDescent="0.35">
      <c r="A414" s="8">
        <v>40664</v>
      </c>
      <c r="B414" s="9">
        <v>-1.2699999999999999E-2</v>
      </c>
      <c r="C414" s="9">
        <v>-2.4799999999999999E-2</v>
      </c>
      <c r="D414" s="9">
        <v>-3.3000000000000002E-2</v>
      </c>
      <c r="E414" s="9">
        <v>-2.3700000000000002E-2</v>
      </c>
      <c r="F414" s="9">
        <v>-4.5499999999999999E-2</v>
      </c>
      <c r="G414" s="9">
        <v>-5.74E-2</v>
      </c>
      <c r="H414" s="9">
        <v>-1.6500000000000001E-2</v>
      </c>
      <c r="I414" s="10">
        <f t="shared" si="9"/>
        <v>-1.8132369747625662E-2</v>
      </c>
    </row>
    <row r="415" spans="1:9" x14ac:dyDescent="0.35">
      <c r="A415" s="8">
        <v>40695</v>
      </c>
      <c r="B415" s="9">
        <v>-1.7500000000000002E-2</v>
      </c>
      <c r="C415" s="9">
        <v>-3.0800000000000001E-2</v>
      </c>
      <c r="D415" s="9">
        <v>-3.2300000000000002E-2</v>
      </c>
      <c r="E415" s="9">
        <v>5.1000000000000004E-3</v>
      </c>
      <c r="F415" s="9">
        <v>1.06E-2</v>
      </c>
      <c r="G415" s="9">
        <v>-2.7300000000000001E-2</v>
      </c>
      <c r="H415" s="9">
        <v>2.4900000000000002E-2</v>
      </c>
      <c r="I415" s="10">
        <f t="shared" si="9"/>
        <v>-1.7322401247037187E-2</v>
      </c>
    </row>
    <row r="416" spans="1:9" x14ac:dyDescent="0.35">
      <c r="A416" s="8">
        <v>40725</v>
      </c>
      <c r="B416" s="9">
        <v>-2.3599999999999999E-2</v>
      </c>
      <c r="C416" s="9">
        <v>1.5E-3</v>
      </c>
      <c r="D416" s="9">
        <v>-1.61E-2</v>
      </c>
      <c r="E416" s="9">
        <v>-6.4500000000000002E-2</v>
      </c>
      <c r="F416" s="9">
        <v>-3.49E-2</v>
      </c>
      <c r="G416" s="9">
        <v>-8.3499999999999991E-2</v>
      </c>
      <c r="H416" s="9">
        <v>4.0099999999999997E-2</v>
      </c>
      <c r="I416" s="10">
        <f t="shared" si="9"/>
        <v>-1.2382470458096132E-2</v>
      </c>
    </row>
    <row r="417" spans="1:9" x14ac:dyDescent="0.35">
      <c r="A417" s="8">
        <v>40756</v>
      </c>
      <c r="B417" s="9">
        <v>-5.9800000000000006E-2</v>
      </c>
      <c r="C417" s="9">
        <v>-8.2100000000000006E-2</v>
      </c>
      <c r="D417" s="9">
        <v>-4.2699999999999995E-2</v>
      </c>
      <c r="E417" s="9">
        <v>-9.98E-2</v>
      </c>
      <c r="F417" s="9">
        <v>-0.15529999999999999</v>
      </c>
      <c r="G417" s="9">
        <v>-0.13539999999999999</v>
      </c>
      <c r="H417" s="9">
        <v>-7.5600000000000001E-2</v>
      </c>
      <c r="I417" s="10">
        <f t="shared" si="9"/>
        <v>-7.1925219970263771E-2</v>
      </c>
    </row>
    <row r="418" spans="1:9" x14ac:dyDescent="0.35">
      <c r="A418" s="8">
        <v>40787</v>
      </c>
      <c r="B418" s="9">
        <v>-7.5899999999999995E-2</v>
      </c>
      <c r="C418" s="9">
        <v>-9.1499999999999998E-2</v>
      </c>
      <c r="D418" s="9">
        <v>-0.1474</v>
      </c>
      <c r="E418" s="9">
        <v>-0.14410000000000001</v>
      </c>
      <c r="F418" s="9">
        <v>-0.12570000000000001</v>
      </c>
      <c r="G418" s="9">
        <v>-0.11070000000000001</v>
      </c>
      <c r="H418" s="9">
        <v>-4.5999999999999999E-3</v>
      </c>
      <c r="I418" s="10">
        <f t="shared" si="9"/>
        <v>-8.0286451225614106E-2</v>
      </c>
    </row>
    <row r="419" spans="1:9" x14ac:dyDescent="0.35">
      <c r="A419" s="8">
        <v>40817</v>
      </c>
      <c r="B419" s="9">
        <v>0.11349999999999999</v>
      </c>
      <c r="C419" s="9">
        <v>0.11289999999999999</v>
      </c>
      <c r="D419" s="9">
        <v>0.1119</v>
      </c>
      <c r="E419" s="9">
        <v>0.1103</v>
      </c>
      <c r="F419" s="9">
        <v>0.1467</v>
      </c>
      <c r="G419" s="9">
        <v>0.11749999999999999</v>
      </c>
      <c r="H419" s="9">
        <v>-1.2E-2</v>
      </c>
      <c r="I419" s="10">
        <f t="shared" si="9"/>
        <v>0.10358952053625127</v>
      </c>
    </row>
    <row r="420" spans="1:9" x14ac:dyDescent="0.35">
      <c r="A420" s="8">
        <v>40848</v>
      </c>
      <c r="B420" s="9">
        <v>-2.8000000000000004E-3</v>
      </c>
      <c r="C420" s="9">
        <v>-0.03</v>
      </c>
      <c r="D420" s="9">
        <v>-2.2599999999999999E-2</v>
      </c>
      <c r="E420" s="9">
        <v>-6.2699999999999992E-2</v>
      </c>
      <c r="F420" s="9">
        <v>-4.3299999999999998E-2</v>
      </c>
      <c r="G420" s="9">
        <v>-7.0300000000000001E-2</v>
      </c>
      <c r="H420" s="9">
        <v>-3.78E-2</v>
      </c>
      <c r="I420" s="10">
        <f t="shared" si="9"/>
        <v>-1.8944337564836065E-2</v>
      </c>
    </row>
    <row r="421" spans="1:9" x14ac:dyDescent="0.35">
      <c r="A421" s="8">
        <v>40878</v>
      </c>
      <c r="B421" s="9">
        <v>7.4000000000000003E-3</v>
      </c>
      <c r="C421" s="9">
        <v>-4.4000000000000003E-3</v>
      </c>
      <c r="D421" s="9">
        <v>-1.6399999999999998E-2</v>
      </c>
      <c r="E421" s="9">
        <v>-3.8800000000000001E-2</v>
      </c>
      <c r="F421" s="9">
        <v>-6.0700000000000004E-2</v>
      </c>
      <c r="G421" s="9">
        <v>-4.99E-2</v>
      </c>
      <c r="H421" s="9">
        <v>1.2E-2</v>
      </c>
      <c r="I421" s="10">
        <f t="shared" si="9"/>
        <v>3.631319125755847E-4</v>
      </c>
    </row>
    <row r="422" spans="1:9" x14ac:dyDescent="0.35">
      <c r="A422" s="8">
        <v>40909</v>
      </c>
      <c r="B422" s="9">
        <v>5.0499999999999996E-2</v>
      </c>
      <c r="C422" s="9">
        <v>4.7500000000000001E-2</v>
      </c>
      <c r="D422" s="9">
        <v>6.3600000000000004E-2</v>
      </c>
      <c r="E422" s="9">
        <v>6.4500000000000002E-2</v>
      </c>
      <c r="F422" s="9">
        <v>0.1012</v>
      </c>
      <c r="G422" s="9">
        <v>6.2100000000000002E-2</v>
      </c>
      <c r="H422" s="9">
        <v>4.3899999999999995E-2</v>
      </c>
      <c r="I422" s="10">
        <f t="shared" si="9"/>
        <v>5.0131449128369379E-2</v>
      </c>
    </row>
    <row r="423" spans="1:9" x14ac:dyDescent="0.35">
      <c r="A423" s="8">
        <v>40940</v>
      </c>
      <c r="B423" s="9">
        <v>4.4199999999999996E-2</v>
      </c>
      <c r="C423" s="9">
        <v>5.5199999999999999E-2</v>
      </c>
      <c r="D423" s="9">
        <v>3.3099999999999997E-2</v>
      </c>
      <c r="E423" s="9">
        <v>6.7699999999999996E-2</v>
      </c>
      <c r="F423" s="9">
        <v>7.6399999999999996E-2</v>
      </c>
      <c r="G423" s="9">
        <v>5.79E-2</v>
      </c>
      <c r="H423" s="9">
        <v>3.5699999999999996E-2</v>
      </c>
      <c r="I423" s="10">
        <f t="shared" si="9"/>
        <v>4.9038161720072589E-2</v>
      </c>
    </row>
    <row r="424" spans="1:9" x14ac:dyDescent="0.35">
      <c r="A424" s="8">
        <v>40969</v>
      </c>
      <c r="B424" s="9">
        <v>3.1099999999999999E-2</v>
      </c>
      <c r="C424" s="9">
        <v>-6.1999999999999998E-3</v>
      </c>
      <c r="D424" s="9">
        <v>-2.5699999999999997E-2</v>
      </c>
      <c r="E424" s="9">
        <v>3.0999999999999999E-3</v>
      </c>
      <c r="F424" s="9">
        <v>1.2199999999999999E-2</v>
      </c>
      <c r="G424" s="9">
        <v>-1.21E-2</v>
      </c>
      <c r="H424" s="9">
        <v>1.44E-2</v>
      </c>
      <c r="I424" s="10">
        <f t="shared" si="9"/>
        <v>1.4898738728024094E-2</v>
      </c>
    </row>
    <row r="425" spans="1:9" x14ac:dyDescent="0.35">
      <c r="A425" s="8">
        <v>41000</v>
      </c>
      <c r="B425" s="9">
        <v>-8.5000000000000006E-3</v>
      </c>
      <c r="C425" s="9">
        <v>1.1699999999999999E-2</v>
      </c>
      <c r="D425" s="9">
        <v>1.9E-3</v>
      </c>
      <c r="E425" s="9">
        <v>-5.3899999999999997E-2</v>
      </c>
      <c r="F425" s="9">
        <v>-0.02</v>
      </c>
      <c r="G425" s="9">
        <v>-6.5000000000000002E-2</v>
      </c>
      <c r="H425" s="9">
        <v>-1.84E-2</v>
      </c>
      <c r="I425" s="10">
        <f t="shared" si="9"/>
        <v>-4.9863130900462699E-3</v>
      </c>
    </row>
    <row r="426" spans="1:9" x14ac:dyDescent="0.35">
      <c r="A426" s="8">
        <v>41030</v>
      </c>
      <c r="B426" s="9">
        <v>-6.1800000000000008E-2</v>
      </c>
      <c r="C426" s="9">
        <v>-0.1193</v>
      </c>
      <c r="D426" s="9">
        <v>-0.10589999999999999</v>
      </c>
      <c r="E426" s="9">
        <v>-0.10890000000000001</v>
      </c>
      <c r="F426" s="9">
        <v>-0.12659999999999999</v>
      </c>
      <c r="G426" s="9">
        <v>-0.14679999999999999</v>
      </c>
      <c r="H426" s="9">
        <v>-8.3699999999999997E-2</v>
      </c>
      <c r="I426" s="10">
        <f t="shared" si="9"/>
        <v>-8.6963471525835945E-2</v>
      </c>
    </row>
    <row r="427" spans="1:9" x14ac:dyDescent="0.35">
      <c r="A427" s="8">
        <v>41061</v>
      </c>
      <c r="B427" s="9">
        <v>3.8900000000000004E-2</v>
      </c>
      <c r="C427" s="9">
        <v>6.4399999999999999E-2</v>
      </c>
      <c r="D427" s="9">
        <v>2.63E-2</v>
      </c>
      <c r="E427" s="9">
        <v>8.0500000000000002E-2</v>
      </c>
      <c r="F427" s="9">
        <v>3.6699999999999997E-2</v>
      </c>
      <c r="G427" s="9">
        <v>0.1164</v>
      </c>
      <c r="H427" s="9">
        <v>4.8000000000000001E-2</v>
      </c>
      <c r="I427" s="10">
        <f t="shared" si="9"/>
        <v>5.1038771792527811E-2</v>
      </c>
    </row>
    <row r="428" spans="1:9" x14ac:dyDescent="0.35">
      <c r="A428" s="8">
        <v>41091</v>
      </c>
      <c r="B428" s="9">
        <v>7.9000000000000008E-3</v>
      </c>
      <c r="C428" s="9">
        <v>1.1399999999999999E-2</v>
      </c>
      <c r="D428" s="9">
        <v>2.1299999999999999E-2</v>
      </c>
      <c r="E428" s="9">
        <v>-4.0000000000000001E-3</v>
      </c>
      <c r="F428" s="9">
        <v>1.84E-2</v>
      </c>
      <c r="G428" s="9">
        <v>-4.1299999999999996E-2</v>
      </c>
      <c r="H428" s="9">
        <v>-1.78E-2</v>
      </c>
      <c r="I428" s="10">
        <f t="shared" si="9"/>
        <v>6.4926471976771956E-3</v>
      </c>
    </row>
    <row r="429" spans="1:9" x14ac:dyDescent="0.35">
      <c r="A429" s="8">
        <v>41122</v>
      </c>
      <c r="B429" s="9">
        <v>2.5599999999999998E-2</v>
      </c>
      <c r="C429" s="9">
        <v>3.73E-2</v>
      </c>
      <c r="D429" s="9">
        <v>4.2800000000000005E-2</v>
      </c>
      <c r="E429" s="9">
        <v>5.5800000000000002E-2</v>
      </c>
      <c r="F429" s="9">
        <v>4.2999999999999997E-2</v>
      </c>
      <c r="G429" s="9">
        <v>0.10150000000000001</v>
      </c>
      <c r="H429" s="9">
        <v>-5.8999999999999999E-3</v>
      </c>
      <c r="I429" s="10">
        <f t="shared" si="9"/>
        <v>2.9197219133603496E-2</v>
      </c>
    </row>
    <row r="430" spans="1:9" x14ac:dyDescent="0.35">
      <c r="A430" s="8">
        <v>41153</v>
      </c>
      <c r="B430" s="9">
        <v>2.7399999999999997E-2</v>
      </c>
      <c r="C430" s="9">
        <v>3.0899999999999997E-2</v>
      </c>
      <c r="D430" s="9">
        <v>3.6299999999999999E-2</v>
      </c>
      <c r="E430" s="9">
        <v>1.46E-2</v>
      </c>
      <c r="F430" s="9">
        <v>5.2400000000000002E-2</v>
      </c>
      <c r="G430" s="9">
        <v>2.1400000000000002E-2</v>
      </c>
      <c r="H430" s="9">
        <v>2.3199999999999998E-2</v>
      </c>
      <c r="I430" s="10">
        <f t="shared" si="9"/>
        <v>2.770907082901582E-2</v>
      </c>
    </row>
    <row r="431" spans="1:9" x14ac:dyDescent="0.35">
      <c r="A431" s="8">
        <v>41183</v>
      </c>
      <c r="B431" s="9">
        <v>-1.7500000000000002E-2</v>
      </c>
      <c r="C431" s="9">
        <v>1.0700000000000001E-2</v>
      </c>
      <c r="D431" s="9">
        <v>-6.0999999999999995E-3</v>
      </c>
      <c r="E431" s="9">
        <v>2.8799999999999999E-2</v>
      </c>
      <c r="F431" s="9">
        <v>2.2799999999999997E-2</v>
      </c>
      <c r="G431" s="9">
        <v>3.4500000000000003E-2</v>
      </c>
      <c r="H431" s="9">
        <v>-1.95E-2</v>
      </c>
      <c r="I431" s="10">
        <f t="shared" si="9"/>
        <v>-4.6946518617094566E-3</v>
      </c>
    </row>
    <row r="432" spans="1:9" x14ac:dyDescent="0.35">
      <c r="A432" s="8">
        <v>41214</v>
      </c>
      <c r="B432" s="9">
        <v>7.9000000000000008E-3</v>
      </c>
      <c r="C432" s="9">
        <v>1.1299999999999999E-2</v>
      </c>
      <c r="D432" s="9">
        <v>-5.6999999999999993E-3</v>
      </c>
      <c r="E432" s="9">
        <v>3.7699999999999997E-2</v>
      </c>
      <c r="F432" s="9">
        <v>2.35E-2</v>
      </c>
      <c r="G432" s="9">
        <v>1.6299999999999999E-2</v>
      </c>
      <c r="H432" s="9">
        <v>1.7399999999999999E-2</v>
      </c>
      <c r="I432" s="10">
        <f t="shared" si="9"/>
        <v>1.1729808558170116E-2</v>
      </c>
    </row>
    <row r="433" spans="1:9" x14ac:dyDescent="0.35">
      <c r="A433" s="8">
        <v>41244</v>
      </c>
      <c r="B433" s="9">
        <v>1.1899999999999999E-2</v>
      </c>
      <c r="C433" s="9">
        <v>2.58E-2</v>
      </c>
      <c r="D433" s="9">
        <v>2.4799999999999999E-2</v>
      </c>
      <c r="E433" s="9">
        <v>3.6799999999999999E-2</v>
      </c>
      <c r="F433" s="9">
        <v>4.0399999999999998E-2</v>
      </c>
      <c r="G433" s="9">
        <v>4.7400000000000005E-2</v>
      </c>
      <c r="H433" s="9">
        <v>3.9E-2</v>
      </c>
      <c r="I433" s="10">
        <f t="shared" si="9"/>
        <v>2.0577162102656671E-2</v>
      </c>
    </row>
    <row r="434" spans="1:9" x14ac:dyDescent="0.35">
      <c r="A434" s="8">
        <v>41275</v>
      </c>
      <c r="B434" s="9">
        <v>5.57E-2</v>
      </c>
      <c r="C434" s="9">
        <v>3.6299999999999999E-2</v>
      </c>
      <c r="D434" s="9">
        <v>2.0499999999999997E-2</v>
      </c>
      <c r="E434" s="9">
        <v>6.4100000000000004E-2</v>
      </c>
      <c r="F434" s="9">
        <v>6.0499999999999998E-2</v>
      </c>
      <c r="G434" s="9">
        <v>8.8399999999999992E-2</v>
      </c>
      <c r="H434" s="9">
        <v>3.7000000000000005E-2</v>
      </c>
      <c r="I434" s="10">
        <f t="shared" si="9"/>
        <v>4.7978128636928095E-2</v>
      </c>
    </row>
    <row r="435" spans="1:9" x14ac:dyDescent="0.35">
      <c r="A435" s="8">
        <v>41306</v>
      </c>
      <c r="B435" s="9">
        <v>1.29E-2</v>
      </c>
      <c r="C435" s="9">
        <v>-2.29E-2</v>
      </c>
      <c r="D435" s="9">
        <v>-2.18E-2</v>
      </c>
      <c r="E435" s="9">
        <v>-2.7699999999999999E-2</v>
      </c>
      <c r="F435" s="9">
        <v>-3.6499999999999998E-2</v>
      </c>
      <c r="G435" s="9">
        <v>-9.5500000000000002E-2</v>
      </c>
      <c r="H435" s="9">
        <v>2.9399999999999999E-2</v>
      </c>
      <c r="I435" s="10">
        <f t="shared" si="9"/>
        <v>-1.1687588148779778E-3</v>
      </c>
    </row>
    <row r="436" spans="1:9" x14ac:dyDescent="0.35">
      <c r="A436" s="8">
        <v>41334</v>
      </c>
      <c r="B436" s="9">
        <v>4.0300000000000002E-2</v>
      </c>
      <c r="C436" s="9">
        <v>1.03E-2</v>
      </c>
      <c r="D436" s="9">
        <v>1.18E-2</v>
      </c>
      <c r="E436" s="9">
        <v>-1.01E-2</v>
      </c>
      <c r="F436" s="9">
        <v>-1.67E-2</v>
      </c>
      <c r="G436" s="9">
        <v>-3.2899999999999999E-2</v>
      </c>
      <c r="H436" s="9">
        <v>5.6100000000000004E-2</v>
      </c>
      <c r="I436" s="10">
        <f t="shared" si="9"/>
        <v>2.7570583221272201E-2</v>
      </c>
    </row>
    <row r="437" spans="1:9" x14ac:dyDescent="0.35">
      <c r="A437" s="8">
        <v>41365</v>
      </c>
      <c r="B437" s="9">
        <v>1.5600000000000001E-2</v>
      </c>
      <c r="C437" s="9">
        <v>2.69E-2</v>
      </c>
      <c r="D437" s="9">
        <v>-1.11E-2</v>
      </c>
      <c r="E437" s="9">
        <v>5.9000000000000004E-2</v>
      </c>
      <c r="F437" s="9">
        <v>3.73E-2</v>
      </c>
      <c r="G437" s="9">
        <v>9.8699999999999996E-2</v>
      </c>
      <c r="H437" s="9">
        <v>8.72E-2</v>
      </c>
      <c r="I437" s="10">
        <f t="shared" si="9"/>
        <v>2.7881890108070982E-2</v>
      </c>
    </row>
    <row r="438" spans="1:9" x14ac:dyDescent="0.35">
      <c r="A438" s="8">
        <v>41395</v>
      </c>
      <c r="B438" s="9">
        <v>2.7999999999999997E-2</v>
      </c>
      <c r="C438" s="9">
        <v>7.3000000000000001E-3</v>
      </c>
      <c r="D438" s="9">
        <v>-1.0500000000000001E-2</v>
      </c>
      <c r="E438" s="9">
        <v>2.8900000000000002E-2</v>
      </c>
      <c r="F438" s="9">
        <v>3.5200000000000002E-2</v>
      </c>
      <c r="G438" s="9">
        <v>2.7400000000000001E-2</v>
      </c>
      <c r="H438" s="9">
        <v>-5.5199999999999999E-2</v>
      </c>
      <c r="I438" s="10">
        <f t="shared" si="9"/>
        <v>1.4382113313136798E-2</v>
      </c>
    </row>
    <row r="439" spans="1:9" x14ac:dyDescent="0.35">
      <c r="A439" s="8">
        <v>41426</v>
      </c>
      <c r="B439" s="9">
        <v>-1.2E-2</v>
      </c>
      <c r="C439" s="9">
        <v>-4.9800000000000004E-2</v>
      </c>
      <c r="D439" s="9">
        <v>-4.8799999999999996E-2</v>
      </c>
      <c r="E439" s="9">
        <v>-4.4600000000000001E-2</v>
      </c>
      <c r="F439" s="9">
        <v>-3.49E-2</v>
      </c>
      <c r="G439" s="9">
        <v>-8.8000000000000009E-2</v>
      </c>
      <c r="H439" s="9">
        <v>1.04E-2</v>
      </c>
      <c r="I439" s="10">
        <f t="shared" si="9"/>
        <v>-2.5646327935735777E-2</v>
      </c>
    </row>
    <row r="440" spans="1:9" x14ac:dyDescent="0.35">
      <c r="A440" s="8">
        <v>41456</v>
      </c>
      <c r="B440" s="9">
        <v>5.6500000000000002E-2</v>
      </c>
      <c r="C440" s="9">
        <v>6.8600000000000008E-2</v>
      </c>
      <c r="D440" s="9">
        <v>5.67E-2</v>
      </c>
      <c r="E440" s="9">
        <v>9.4800000000000009E-2</v>
      </c>
      <c r="F440" s="9">
        <v>6.480000000000001E-2</v>
      </c>
      <c r="G440" s="9">
        <v>9.74E-2</v>
      </c>
      <c r="H440" s="9">
        <v>1.1399999999999999E-2</v>
      </c>
      <c r="I440" s="10">
        <f t="shared" si="9"/>
        <v>5.9604650146502944E-2</v>
      </c>
    </row>
    <row r="441" spans="1:9" x14ac:dyDescent="0.35">
      <c r="A441" s="8">
        <v>41487</v>
      </c>
      <c r="B441" s="9">
        <v>-2.7099999999999999E-2</v>
      </c>
      <c r="C441" s="9">
        <v>2.9999999999999997E-4</v>
      </c>
      <c r="D441" s="9">
        <v>-1.0700000000000001E-2</v>
      </c>
      <c r="E441" s="9">
        <v>-1.66E-2</v>
      </c>
      <c r="F441" s="9">
        <v>-1.9199999999999998E-2</v>
      </c>
      <c r="G441" s="9">
        <v>6.4000000000000003E-3</v>
      </c>
      <c r="H441" s="9">
        <v>-2.4300000000000002E-2</v>
      </c>
      <c r="I441" s="10">
        <f t="shared" si="9"/>
        <v>-1.6580305888311088E-2</v>
      </c>
    </row>
    <row r="442" spans="1:9" x14ac:dyDescent="0.35">
      <c r="A442" s="8">
        <v>41518</v>
      </c>
      <c r="B442" s="9">
        <v>3.7699999999999997E-2</v>
      </c>
      <c r="C442" s="9">
        <v>5.62E-2</v>
      </c>
      <c r="D442" s="9">
        <v>3.7599999999999995E-2</v>
      </c>
      <c r="E442" s="9">
        <v>8.1600000000000006E-2</v>
      </c>
      <c r="F442" s="9">
        <v>7.6100000000000001E-2</v>
      </c>
      <c r="G442" s="9">
        <v>6.5500000000000003E-2</v>
      </c>
      <c r="H442" s="9">
        <v>8.6800000000000002E-2</v>
      </c>
      <c r="I442" s="10">
        <f t="shared" si="9"/>
        <v>5.0909687096988128E-2</v>
      </c>
    </row>
    <row r="443" spans="1:9" x14ac:dyDescent="0.35">
      <c r="A443" s="8">
        <v>41548</v>
      </c>
      <c r="B443" s="9">
        <v>4.1799999999999997E-2</v>
      </c>
      <c r="C443" s="9">
        <v>3.3500000000000002E-2</v>
      </c>
      <c r="D443" s="9">
        <v>3.39E-2</v>
      </c>
      <c r="E443" s="9">
        <v>3.8699999999999998E-2</v>
      </c>
      <c r="F443" s="9">
        <v>5.6299999999999996E-2</v>
      </c>
      <c r="G443" s="9">
        <v>0.1142</v>
      </c>
      <c r="H443" s="9">
        <v>-1.9E-3</v>
      </c>
      <c r="I443" s="10">
        <f t="shared" si="9"/>
        <v>3.5410817820249206E-2</v>
      </c>
    </row>
    <row r="444" spans="1:9" x14ac:dyDescent="0.35">
      <c r="A444" s="8">
        <v>41579</v>
      </c>
      <c r="B444" s="9">
        <v>3.1200000000000002E-2</v>
      </c>
      <c r="C444" s="9">
        <v>1.3500000000000002E-2</v>
      </c>
      <c r="D444" s="9">
        <v>-1.1000000000000001E-2</v>
      </c>
      <c r="E444" s="9">
        <v>4.1999999999999997E-3</v>
      </c>
      <c r="F444" s="9">
        <v>3.61E-2</v>
      </c>
      <c r="G444" s="9">
        <v>-7.6E-3</v>
      </c>
      <c r="H444" s="9">
        <v>9.5999999999999992E-3</v>
      </c>
      <c r="I444" s="10">
        <f t="shared" si="9"/>
        <v>2.1724327315872049E-2</v>
      </c>
    </row>
    <row r="445" spans="1:9" x14ac:dyDescent="0.35">
      <c r="A445" s="8">
        <v>41609</v>
      </c>
      <c r="B445" s="9">
        <v>2.81E-2</v>
      </c>
      <c r="C445" s="9">
        <v>3.1800000000000002E-2</v>
      </c>
      <c r="D445" s="9">
        <v>2.07E-2</v>
      </c>
      <c r="E445" s="9">
        <v>1.72E-2</v>
      </c>
      <c r="F445" s="9">
        <v>2.64E-2</v>
      </c>
      <c r="G445" s="9">
        <v>8.1000000000000013E-3</v>
      </c>
      <c r="H445" s="9">
        <v>7.8000000000000005E-3</v>
      </c>
      <c r="I445" s="10">
        <f t="shared" si="9"/>
        <v>2.7156407215489765E-2</v>
      </c>
    </row>
  </sheetData>
  <conditionalFormatting sqref="L7:T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I2:I44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AC49-82D7-461F-878B-E25D927990B2}">
  <dimension ref="A1:N121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08984375" defaultRowHeight="15.5" x14ac:dyDescent="0.35"/>
  <cols>
    <col min="1" max="1" width="6.1796875" style="8" bestFit="1" customWidth="1"/>
    <col min="2" max="3" width="14.26953125" style="9" bestFit="1" customWidth="1"/>
    <col min="4" max="4" width="12.6328125" style="9" bestFit="1" customWidth="1"/>
    <col min="5" max="5" width="16.81640625" style="9" bestFit="1" customWidth="1"/>
    <col min="6" max="6" width="6.90625" style="1" bestFit="1" customWidth="1"/>
    <col min="7" max="7" width="9.08984375" style="1"/>
    <col min="8" max="8" width="20.6328125" style="1" bestFit="1" customWidth="1"/>
    <col min="9" max="9" width="12.26953125" style="13" bestFit="1" customWidth="1"/>
    <col min="10" max="10" width="20.81640625" style="13" bestFit="1" customWidth="1"/>
    <col min="11" max="11" width="12.26953125" style="13" bestFit="1" customWidth="1"/>
    <col min="12" max="12" width="23.08984375" style="13" bestFit="1" customWidth="1"/>
    <col min="13" max="13" width="9.08984375" style="1"/>
    <col min="14" max="14" width="9.08984375" style="13"/>
    <col min="15" max="16384" width="9.08984375" style="1"/>
  </cols>
  <sheetData>
    <row r="1" spans="1:14" x14ac:dyDescent="0.35">
      <c r="A1" s="5" t="s">
        <v>8</v>
      </c>
      <c r="B1" s="6" t="s">
        <v>22</v>
      </c>
      <c r="C1" s="6" t="s">
        <v>23</v>
      </c>
      <c r="D1" s="15" t="s">
        <v>24</v>
      </c>
      <c r="E1" s="6" t="s">
        <v>25</v>
      </c>
      <c r="F1" s="13"/>
      <c r="I1" s="15" t="s">
        <v>26</v>
      </c>
      <c r="J1" s="15" t="s">
        <v>0</v>
      </c>
      <c r="K1" s="15" t="s">
        <v>27</v>
      </c>
      <c r="L1" s="15" t="s">
        <v>2</v>
      </c>
      <c r="N1" s="15" t="s">
        <v>28</v>
      </c>
    </row>
    <row r="2" spans="1:14" x14ac:dyDescent="0.35">
      <c r="A2" s="8">
        <v>39083</v>
      </c>
      <c r="B2" s="9">
        <v>1.84E-2</v>
      </c>
      <c r="C2" s="9">
        <v>1.0489999999999999E-2</v>
      </c>
      <c r="D2" s="16">
        <v>0.173813</v>
      </c>
      <c r="E2" s="10">
        <f>SUMPRODUCT(C2:D2,$J$5:$K$5)</f>
        <v>-5.1909391006998762E-2</v>
      </c>
      <c r="H2" s="31" t="s">
        <v>29</v>
      </c>
      <c r="I2" s="23">
        <f>AVERAGE(B2:B121)-Rf</f>
        <v>6.3091666666666634E-3</v>
      </c>
      <c r="J2" s="23">
        <f>AVERAGE(C2:C121)-Rf</f>
        <v>2.3507308333333331E-2</v>
      </c>
      <c r="K2" s="23">
        <f>AVERAGE(D2:D121)-Rf</f>
        <v>3.5689608333333324E-2</v>
      </c>
      <c r="L2" s="23">
        <f>AVERAGE(E2:E121)-Rf</f>
        <v>1.8852923457568362E-2</v>
      </c>
      <c r="N2" s="17">
        <v>5.9999999999999995E-4</v>
      </c>
    </row>
    <row r="3" spans="1:14" x14ac:dyDescent="0.35">
      <c r="A3" s="8">
        <v>39114</v>
      </c>
      <c r="B3" s="9">
        <v>-1.5800000000000002E-2</v>
      </c>
      <c r="C3" s="9">
        <v>-1.3063999999999999E-2</v>
      </c>
      <c r="D3" s="16">
        <v>4.3205E-2</v>
      </c>
      <c r="E3" s="10">
        <f t="shared" ref="E3:E66" si="0">SUMPRODUCT(C3:D3,$J$5:$K$5)</f>
        <v>-3.4562204983822321E-2</v>
      </c>
      <c r="H3" s="31" t="s">
        <v>30</v>
      </c>
      <c r="I3" s="11">
        <f>_xlfn.COVARIANCE.S(B2:B121,Rm)/_xlfn.VAR.S(Rm)</f>
        <v>0.99999999999999978</v>
      </c>
      <c r="J3" s="11">
        <f>_xlfn.COVARIANCE.S(C2:C121,Rm)/_xlfn.VAR.S(Rm)</f>
        <v>1.1613589665685078</v>
      </c>
      <c r="K3" s="11">
        <f>_xlfn.COVARIANCE.S(D2:D121,Rm)/_xlfn.VAR.S(Rm)</f>
        <v>4.2010782240143714</v>
      </c>
      <c r="L3" s="11">
        <f>_xlfn.COVARIANCE.S(E2:E121,Rm)/_xlfn.VAR.S(Rm)</f>
        <v>-3.7124622162156868E-16</v>
      </c>
    </row>
    <row r="4" spans="1:14" x14ac:dyDescent="0.35">
      <c r="A4" s="8">
        <v>39142</v>
      </c>
      <c r="B4" s="9">
        <v>1.11E-2</v>
      </c>
      <c r="C4" s="9">
        <v>9.8097000000000004E-2</v>
      </c>
      <c r="D4" s="16">
        <v>2.8614000000000001E-2</v>
      </c>
      <c r="E4" s="10">
        <f t="shared" si="0"/>
        <v>0.1246437624605187</v>
      </c>
      <c r="H4" s="31" t="s">
        <v>31</v>
      </c>
      <c r="I4" s="23">
        <f>I2-I3*$I$2</f>
        <v>0</v>
      </c>
      <c r="J4" s="23">
        <f>J2-J3*$I$2</f>
        <v>1.6180101053424857E-2</v>
      </c>
      <c r="K4" s="23">
        <f t="shared" ref="K4:L4" si="1">K2-K3*$I$2</f>
        <v>9.1843056383226658E-3</v>
      </c>
      <c r="L4" s="23">
        <f t="shared" si="1"/>
        <v>1.8852923457568366E-2</v>
      </c>
    </row>
    <row r="5" spans="1:14" x14ac:dyDescent="0.35">
      <c r="A5" s="8">
        <v>39173</v>
      </c>
      <c r="B5" s="9">
        <v>3.9300000000000002E-2</v>
      </c>
      <c r="C5" s="9">
        <v>7.4158000000000002E-2</v>
      </c>
      <c r="D5" s="16">
        <v>2.9648999999999998E-2</v>
      </c>
      <c r="E5" s="10">
        <f t="shared" si="0"/>
        <v>9.1163164577741707E-2</v>
      </c>
      <c r="H5" s="31" t="s">
        <v>20</v>
      </c>
      <c r="I5" s="18"/>
      <c r="J5" s="12">
        <f>-K3/(J3-K3)</f>
        <v>1.3820612590204611</v>
      </c>
      <c r="K5" s="12">
        <f>1-J5</f>
        <v>-0.38206125902046106</v>
      </c>
      <c r="L5" s="12">
        <f>SUM(J5:K5)</f>
        <v>1</v>
      </c>
    </row>
    <row r="6" spans="1:14" x14ac:dyDescent="0.35">
      <c r="A6" s="8">
        <v>39203</v>
      </c>
      <c r="B6" s="9">
        <v>3.6500000000000005E-2</v>
      </c>
      <c r="C6" s="9">
        <v>0.214339</v>
      </c>
      <c r="D6" s="16">
        <v>7.5364E-2</v>
      </c>
      <c r="E6" s="10">
        <f t="shared" si="0"/>
        <v>0.26743596347236859</v>
      </c>
      <c r="J6" s="19"/>
    </row>
    <row r="7" spans="1:14" x14ac:dyDescent="0.35">
      <c r="A7" s="8">
        <v>39234</v>
      </c>
      <c r="B7" s="9">
        <v>-1.5600000000000001E-2</v>
      </c>
      <c r="C7" s="9">
        <v>7.0049999999999999E-3</v>
      </c>
      <c r="D7" s="16">
        <v>-6.0165000000000003E-2</v>
      </c>
      <c r="E7" s="10">
        <f t="shared" si="0"/>
        <v>3.266805476840437E-2</v>
      </c>
    </row>
    <row r="8" spans="1:14" x14ac:dyDescent="0.35">
      <c r="A8" s="8">
        <v>39264</v>
      </c>
      <c r="B8" s="9">
        <v>-3.3300000000000003E-2</v>
      </c>
      <c r="C8" s="9">
        <v>7.9645999999999995E-2</v>
      </c>
      <c r="D8" s="16">
        <v>-9.7081000000000001E-2</v>
      </c>
      <c r="E8" s="10">
        <f t="shared" si="0"/>
        <v>0.14716654012290903</v>
      </c>
    </row>
    <row r="9" spans="1:14" x14ac:dyDescent="0.35">
      <c r="A9" s="8">
        <v>39295</v>
      </c>
      <c r="B9" s="9">
        <v>1.34E-2</v>
      </c>
      <c r="C9" s="9">
        <v>5.1001999999999999E-2</v>
      </c>
      <c r="D9" s="16">
        <v>-9.5832000000000001E-2</v>
      </c>
      <c r="E9" s="10">
        <f t="shared" si="0"/>
        <v>0.10710158290701038</v>
      </c>
    </row>
    <row r="10" spans="1:14" x14ac:dyDescent="0.35">
      <c r="A10" s="8">
        <v>39326</v>
      </c>
      <c r="B10" s="9">
        <v>3.5400000000000001E-2</v>
      </c>
      <c r="C10" s="9">
        <v>0.108247</v>
      </c>
      <c r="D10" s="16">
        <v>-1.3787000000000001E-2</v>
      </c>
      <c r="E10" s="10">
        <f t="shared" si="0"/>
        <v>0.15487146368330296</v>
      </c>
    </row>
    <row r="11" spans="1:14" x14ac:dyDescent="0.35">
      <c r="A11" s="8">
        <v>39356</v>
      </c>
      <c r="B11" s="9">
        <v>2.12E-2</v>
      </c>
      <c r="C11" s="9">
        <v>0.237701</v>
      </c>
      <c r="D11" s="16">
        <v>-8.8247999999999993E-2</v>
      </c>
      <c r="E11" s="10">
        <f t="shared" si="0"/>
        <v>0.36223348531646027</v>
      </c>
      <c r="H11" s="33"/>
      <c r="I11" s="33"/>
      <c r="J11" s="33"/>
      <c r="K11" s="33"/>
    </row>
    <row r="12" spans="1:14" x14ac:dyDescent="0.35">
      <c r="A12" s="8">
        <v>39387</v>
      </c>
      <c r="B12" s="9">
        <v>-4.4900000000000002E-2</v>
      </c>
      <c r="C12" s="9">
        <v>-4.0695000000000002E-2</v>
      </c>
      <c r="D12" s="16">
        <v>-0.27982800000000002</v>
      </c>
      <c r="E12" s="10">
        <f t="shared" si="0"/>
        <v>5.0668455053339917E-2</v>
      </c>
      <c r="F12" s="20"/>
      <c r="G12" s="13"/>
    </row>
    <row r="13" spans="1:14" x14ac:dyDescent="0.35">
      <c r="A13" s="8">
        <v>39417</v>
      </c>
      <c r="B13" s="9">
        <v>-6.0000000000000001E-3</v>
      </c>
      <c r="C13" s="9">
        <v>8.7038000000000004E-2</v>
      </c>
      <c r="D13" s="16">
        <v>-0.13506299999999999</v>
      </c>
      <c r="E13" s="10">
        <f t="shared" si="0"/>
        <v>0.17189418768970344</v>
      </c>
      <c r="F13" s="21"/>
    </row>
    <row r="14" spans="1:14" x14ac:dyDescent="0.35">
      <c r="A14" s="8">
        <v>39448</v>
      </c>
      <c r="B14" s="9">
        <v>-6.1500000000000006E-2</v>
      </c>
      <c r="C14" s="9">
        <v>-0.31663999999999998</v>
      </c>
      <c r="D14" s="16">
        <v>2.6922999999999999E-2</v>
      </c>
      <c r="E14" s="10">
        <f t="shared" si="0"/>
        <v>-0.44790211233284666</v>
      </c>
      <c r="F14" s="21"/>
    </row>
    <row r="15" spans="1:14" x14ac:dyDescent="0.35">
      <c r="A15" s="8">
        <v>39479</v>
      </c>
      <c r="B15" s="9">
        <v>-2.9600000000000001E-2</v>
      </c>
      <c r="C15" s="9">
        <v>-7.6388999999999999E-2</v>
      </c>
      <c r="D15" s="16">
        <v>-0.14382</v>
      </c>
      <c r="E15" s="10">
        <f t="shared" si="0"/>
        <v>-5.0626227242991283E-2</v>
      </c>
      <c r="F15" s="22"/>
    </row>
    <row r="16" spans="1:14" x14ac:dyDescent="0.35">
      <c r="A16" s="8">
        <v>39508</v>
      </c>
      <c r="B16" s="9">
        <v>-7.6E-3</v>
      </c>
      <c r="C16" s="9">
        <v>0.147816</v>
      </c>
      <c r="D16" s="16">
        <v>-7.0865999999999998E-2</v>
      </c>
      <c r="E16" s="10">
        <f t="shared" si="0"/>
        <v>0.23136592024511249</v>
      </c>
      <c r="F16" s="22"/>
    </row>
    <row r="17" spans="1:5" x14ac:dyDescent="0.35">
      <c r="A17" s="8">
        <v>39539</v>
      </c>
      <c r="B17" s="9">
        <v>4.7799999999999995E-2</v>
      </c>
      <c r="C17" s="9">
        <v>0.21219499999999999</v>
      </c>
      <c r="D17" s="16">
        <v>0.250471</v>
      </c>
      <c r="E17" s="10">
        <f t="shared" si="0"/>
        <v>0.19757122324973281</v>
      </c>
    </row>
    <row r="18" spans="1:5" x14ac:dyDescent="0.35">
      <c r="A18" s="8">
        <v>39569</v>
      </c>
      <c r="B18" s="9">
        <v>2.0400000000000001E-2</v>
      </c>
      <c r="C18" s="9">
        <v>8.5082000000000005E-2</v>
      </c>
      <c r="D18" s="16">
        <v>4.8193E-2</v>
      </c>
      <c r="E18" s="10">
        <f t="shared" si="0"/>
        <v>9.9175857784005797E-2</v>
      </c>
    </row>
    <row r="19" spans="1:5" x14ac:dyDescent="0.35">
      <c r="A19" s="8">
        <v>39600</v>
      </c>
      <c r="B19" s="9">
        <v>-8.2699999999999996E-2</v>
      </c>
      <c r="C19" s="9">
        <v>-0.112901</v>
      </c>
      <c r="D19" s="16">
        <v>-0.39870699999999998</v>
      </c>
      <c r="E19" s="10">
        <f t="shared" si="0"/>
        <v>-3.7055998043981075E-3</v>
      </c>
    </row>
    <row r="20" spans="1:5" x14ac:dyDescent="0.35">
      <c r="A20" s="8">
        <v>39630</v>
      </c>
      <c r="B20" s="9">
        <v>-6.1999999999999998E-3</v>
      </c>
      <c r="C20" s="9">
        <v>-5.0705E-2</v>
      </c>
      <c r="D20" s="16">
        <v>-0.27120699999999998</v>
      </c>
      <c r="E20" s="10">
        <f t="shared" si="0"/>
        <v>3.3540271736529695E-2</v>
      </c>
    </row>
    <row r="21" spans="1:5" x14ac:dyDescent="0.35">
      <c r="A21" s="8">
        <v>39661</v>
      </c>
      <c r="B21" s="9">
        <v>1.66E-2</v>
      </c>
      <c r="C21" s="9">
        <v>6.6561999999999996E-2</v>
      </c>
      <c r="D21" s="16">
        <v>0.24918000000000001</v>
      </c>
      <c r="E21" s="10">
        <f t="shared" si="0"/>
        <v>-3.2092629997985678E-3</v>
      </c>
    </row>
    <row r="22" spans="1:5" x14ac:dyDescent="0.35">
      <c r="A22" s="8">
        <v>39692</v>
      </c>
      <c r="B22" s="9">
        <v>-9.0899999999999995E-2</v>
      </c>
      <c r="C22" s="9">
        <v>-0.32955800000000002</v>
      </c>
      <c r="D22" s="16">
        <v>-0.24671899999999999</v>
      </c>
      <c r="E22" s="10">
        <f t="shared" si="0"/>
        <v>-0.36120757263599601</v>
      </c>
    </row>
    <row r="23" spans="1:5" x14ac:dyDescent="0.35">
      <c r="A23" s="8">
        <v>39722</v>
      </c>
      <c r="B23" s="9">
        <v>-0.17150000000000001</v>
      </c>
      <c r="C23" s="9">
        <v>-5.3405000000000001E-2</v>
      </c>
      <c r="D23" s="16">
        <v>-0.71428599999999998</v>
      </c>
      <c r="E23" s="10">
        <f t="shared" si="0"/>
        <v>0.19909202692270134</v>
      </c>
    </row>
    <row r="24" spans="1:5" x14ac:dyDescent="0.35">
      <c r="A24" s="8">
        <v>39753</v>
      </c>
      <c r="B24" s="9">
        <v>-7.8299999999999995E-2</v>
      </c>
      <c r="C24" s="9">
        <v>-0.13867499999999999</v>
      </c>
      <c r="D24" s="16">
        <v>-0.53658499999999998</v>
      </c>
      <c r="E24" s="10">
        <f t="shared" si="0"/>
        <v>1.335099557683167E-2</v>
      </c>
    </row>
    <row r="25" spans="1:5" x14ac:dyDescent="0.35">
      <c r="A25" s="8">
        <v>39783</v>
      </c>
      <c r="B25" s="9">
        <v>1.7399999999999999E-2</v>
      </c>
      <c r="C25" s="9">
        <v>-7.8990000000000005E-2</v>
      </c>
      <c r="D25" s="16">
        <v>-7.8947000000000003E-2</v>
      </c>
      <c r="E25" s="10">
        <f t="shared" si="0"/>
        <v>-7.9006428634137885E-2</v>
      </c>
    </row>
    <row r="26" spans="1:5" x14ac:dyDescent="0.35">
      <c r="A26" s="8">
        <v>39814</v>
      </c>
      <c r="B26" s="9">
        <v>-8.1199999999999994E-2</v>
      </c>
      <c r="C26" s="9">
        <v>5.6004999999999999E-2</v>
      </c>
      <c r="D26" s="16">
        <v>-1.4286E-2</v>
      </c>
      <c r="E26" s="10">
        <f t="shared" si="0"/>
        <v>8.2860467957807216E-2</v>
      </c>
    </row>
    <row r="27" spans="1:5" x14ac:dyDescent="0.35">
      <c r="A27" s="8">
        <v>39845</v>
      </c>
      <c r="B27" s="9">
        <v>-0.1009</v>
      </c>
      <c r="C27" s="9">
        <v>-9.0980000000000002E-3</v>
      </c>
      <c r="D27" s="16">
        <v>-0.42029</v>
      </c>
      <c r="E27" s="10">
        <f t="shared" si="0"/>
        <v>0.14800253321914142</v>
      </c>
    </row>
    <row r="28" spans="1:5" x14ac:dyDescent="0.35">
      <c r="A28" s="8">
        <v>39873</v>
      </c>
      <c r="B28" s="9">
        <v>8.9699999999999988E-2</v>
      </c>
      <c r="C28" s="9">
        <v>0.17702399999999999</v>
      </c>
      <c r="D28" s="16">
        <v>1.2749999999999999</v>
      </c>
      <c r="E28" s="10">
        <f t="shared" si="0"/>
        <v>-0.2424700929342497</v>
      </c>
    </row>
    <row r="29" spans="1:5" x14ac:dyDescent="0.35">
      <c r="A29" s="8">
        <v>39904</v>
      </c>
      <c r="B29" s="9">
        <v>0.10199999999999999</v>
      </c>
      <c r="C29" s="9">
        <v>0.19701299999999999</v>
      </c>
      <c r="D29" s="16">
        <v>1.2967029999999999</v>
      </c>
      <c r="E29" s="10">
        <f t="shared" si="0"/>
        <v>-0.22313594593221081</v>
      </c>
    </row>
    <row r="30" spans="1:5" x14ac:dyDescent="0.35">
      <c r="A30" s="8">
        <v>39934</v>
      </c>
      <c r="B30" s="9">
        <v>5.21E-2</v>
      </c>
      <c r="C30" s="9">
        <v>7.9312999999999995E-2</v>
      </c>
      <c r="D30" s="16">
        <v>1.296651</v>
      </c>
      <c r="E30" s="10">
        <f t="shared" si="0"/>
        <v>-0.38578468893345003</v>
      </c>
    </row>
    <row r="31" spans="1:5" x14ac:dyDescent="0.35">
      <c r="A31" s="8">
        <v>39965</v>
      </c>
      <c r="B31" s="9">
        <v>4.4000000000000003E-3</v>
      </c>
      <c r="C31" s="9">
        <v>4.8744999999999997E-2</v>
      </c>
      <c r="D31" s="16">
        <v>0.17708299999999999</v>
      </c>
      <c r="E31" s="10">
        <f t="shared" si="0"/>
        <v>-2.879778601679317E-4</v>
      </c>
    </row>
    <row r="32" spans="1:5" x14ac:dyDescent="0.35">
      <c r="A32" s="8">
        <v>39995</v>
      </c>
      <c r="B32" s="9">
        <v>7.7299999999999994E-2</v>
      </c>
      <c r="C32" s="9">
        <v>0.14716000000000001</v>
      </c>
      <c r="D32" s="16">
        <v>0.51327400000000001</v>
      </c>
      <c r="E32" s="10">
        <f t="shared" si="0"/>
        <v>7.2820242149829462E-3</v>
      </c>
    </row>
    <row r="33" spans="1:5" x14ac:dyDescent="0.35">
      <c r="A33" s="8">
        <v>40026</v>
      </c>
      <c r="B33" s="9">
        <v>3.3399999999999999E-2</v>
      </c>
      <c r="C33" s="9">
        <v>2.9499999999999998E-2</v>
      </c>
      <c r="D33" s="16">
        <v>0.138012</v>
      </c>
      <c r="E33" s="10">
        <f t="shared" si="0"/>
        <v>-1.1958231338828271E-2</v>
      </c>
    </row>
    <row r="34" spans="1:5" x14ac:dyDescent="0.35">
      <c r="A34" s="8">
        <v>40057</v>
      </c>
      <c r="B34" s="9">
        <v>4.0899999999999999E-2</v>
      </c>
      <c r="C34" s="9">
        <v>0.101896</v>
      </c>
      <c r="D34" s="16">
        <v>0.37307299999999999</v>
      </c>
      <c r="E34" s="10">
        <f t="shared" si="0"/>
        <v>-1.7102260373915712E-3</v>
      </c>
    </row>
    <row r="35" spans="1:5" x14ac:dyDescent="0.35">
      <c r="A35" s="8">
        <v>40087</v>
      </c>
      <c r="B35" s="9">
        <v>-2.5899999999999999E-2</v>
      </c>
      <c r="C35" s="9">
        <v>1.6995E-2</v>
      </c>
      <c r="D35" s="16">
        <v>-0.371257</v>
      </c>
      <c r="E35" s="10">
        <f t="shared" si="0"/>
        <v>0.16533104793721204</v>
      </c>
    </row>
    <row r="36" spans="1:5" x14ac:dyDescent="0.35">
      <c r="A36" s="8">
        <v>40118</v>
      </c>
      <c r="B36" s="9">
        <v>5.5599999999999997E-2</v>
      </c>
      <c r="C36" s="9">
        <v>6.0531000000000001E-2</v>
      </c>
      <c r="D36" s="16">
        <v>0.160714</v>
      </c>
      <c r="E36" s="10">
        <f t="shared" si="0"/>
        <v>2.2254956887553155E-2</v>
      </c>
    </row>
    <row r="37" spans="1:5" x14ac:dyDescent="0.35">
      <c r="A37" s="8">
        <v>40148</v>
      </c>
      <c r="B37" s="9">
        <v>2.76E-2</v>
      </c>
      <c r="C37" s="9">
        <v>5.4134000000000002E-2</v>
      </c>
      <c r="D37" s="16">
        <v>0.34564099999999998</v>
      </c>
      <c r="E37" s="10">
        <f t="shared" si="0"/>
        <v>-5.7239531433277549E-2</v>
      </c>
    </row>
    <row r="38" spans="1:5" x14ac:dyDescent="0.35">
      <c r="A38" s="8">
        <v>40179</v>
      </c>
      <c r="B38" s="9">
        <v>-3.3599999999999998E-2</v>
      </c>
      <c r="C38" s="9">
        <v>-8.8591000000000003E-2</v>
      </c>
      <c r="D38" s="16">
        <v>-0.17530499999999999</v>
      </c>
      <c r="E38" s="10">
        <f t="shared" si="0"/>
        <v>-5.5460939985299745E-2</v>
      </c>
    </row>
    <row r="39" spans="1:5" x14ac:dyDescent="0.35">
      <c r="A39" s="8">
        <v>40210</v>
      </c>
      <c r="B39" s="9">
        <v>3.4000000000000002E-2</v>
      </c>
      <c r="C39" s="9">
        <v>6.5379999999999994E-2</v>
      </c>
      <c r="D39" s="16">
        <v>-2.7726000000000001E-2</v>
      </c>
      <c r="E39" s="10">
        <f t="shared" si="0"/>
        <v>0.10095219558235904</v>
      </c>
    </row>
    <row r="40" spans="1:5" x14ac:dyDescent="0.35">
      <c r="A40" s="8">
        <v>40238</v>
      </c>
      <c r="B40" s="9">
        <v>6.3199999999999992E-2</v>
      </c>
      <c r="C40" s="9">
        <v>0.14846999999999999</v>
      </c>
      <c r="D40" s="16">
        <v>9.3156000000000003E-2</v>
      </c>
      <c r="E40" s="10">
        <f t="shared" si="0"/>
        <v>0.16960333648145776</v>
      </c>
    </row>
    <row r="41" spans="1:5" x14ac:dyDescent="0.35">
      <c r="A41" s="8">
        <v>40269</v>
      </c>
      <c r="B41" s="9">
        <v>2.0099999999999996E-2</v>
      </c>
      <c r="C41" s="9">
        <v>0.11102099999999999</v>
      </c>
      <c r="D41" s="16">
        <v>0.31478299999999998</v>
      </c>
      <c r="E41" s="10">
        <f t="shared" si="0"/>
        <v>3.317143373947283E-2</v>
      </c>
    </row>
    <row r="42" spans="1:5" x14ac:dyDescent="0.35">
      <c r="A42" s="8">
        <v>40299</v>
      </c>
      <c r="B42" s="9">
        <v>-7.8799999999999995E-2</v>
      </c>
      <c r="C42" s="9">
        <v>-1.6125E-2</v>
      </c>
      <c r="D42" s="16">
        <v>-0.21626999999999999</v>
      </c>
      <c r="E42" s="10">
        <f t="shared" si="0"/>
        <v>6.0342650686650179E-2</v>
      </c>
    </row>
    <row r="43" spans="1:5" x14ac:dyDescent="0.35">
      <c r="A43" s="8">
        <v>40330</v>
      </c>
      <c r="B43" s="9">
        <v>-5.5500000000000001E-2</v>
      </c>
      <c r="C43" s="9">
        <v>-2.0826999999999998E-2</v>
      </c>
      <c r="D43" s="16">
        <v>-0.17130799999999999</v>
      </c>
      <c r="E43" s="10">
        <f t="shared" si="0"/>
        <v>3.6665960318658E-2</v>
      </c>
    </row>
    <row r="44" spans="1:5" x14ac:dyDescent="0.35">
      <c r="A44" s="8">
        <v>40360</v>
      </c>
      <c r="B44" s="9">
        <v>6.9399999999999989E-2</v>
      </c>
      <c r="C44" s="9">
        <v>2.2741000000000001E-2</v>
      </c>
      <c r="D44" s="16">
        <v>0.25661899999999999</v>
      </c>
      <c r="E44" s="10">
        <f t="shared" si="0"/>
        <v>-6.6614723137187387E-2</v>
      </c>
    </row>
    <row r="45" spans="1:5" x14ac:dyDescent="0.35">
      <c r="A45" s="8">
        <v>40391</v>
      </c>
      <c r="B45" s="9">
        <v>-4.7599999999999996E-2</v>
      </c>
      <c r="C45" s="9">
        <v>-5.5004999999999998E-2</v>
      </c>
      <c r="D45" s="16">
        <v>-0.26094000000000001</v>
      </c>
      <c r="E45" s="10">
        <f t="shared" si="0"/>
        <v>2.3674785376378654E-2</v>
      </c>
    </row>
    <row r="46" spans="1:5" x14ac:dyDescent="0.35">
      <c r="A46" s="8">
        <v>40422</v>
      </c>
      <c r="B46" s="9">
        <v>9.5499999999999988E-2</v>
      </c>
      <c r="C46" s="9">
        <v>0.167215</v>
      </c>
      <c r="D46" s="16">
        <v>0.27741199999999999</v>
      </c>
      <c r="E46" s="10">
        <f t="shared" si="0"/>
        <v>0.12511299543972226</v>
      </c>
    </row>
    <row r="47" spans="1:5" x14ac:dyDescent="0.35">
      <c r="A47" s="8">
        <v>40452</v>
      </c>
      <c r="B47" s="9">
        <v>3.8899999999999997E-2</v>
      </c>
      <c r="C47" s="9">
        <v>6.0722999999999999E-2</v>
      </c>
      <c r="D47" s="16">
        <v>-3.4329999999999999E-3</v>
      </c>
      <c r="E47" s="10">
        <f t="shared" si="0"/>
        <v>8.5234522133716698E-2</v>
      </c>
    </row>
    <row r="48" spans="1:5" x14ac:dyDescent="0.35">
      <c r="A48" s="8">
        <v>40483</v>
      </c>
      <c r="B48" s="9">
        <v>6.0999999999999995E-3</v>
      </c>
      <c r="C48" s="9">
        <v>3.3790000000000001E-2</v>
      </c>
      <c r="D48" s="16">
        <v>0.144703</v>
      </c>
      <c r="E48" s="10">
        <f t="shared" si="0"/>
        <v>-8.5855604217364018E-3</v>
      </c>
    </row>
    <row r="49" spans="1:5" x14ac:dyDescent="0.35">
      <c r="A49" s="8">
        <v>40513</v>
      </c>
      <c r="B49" s="9">
        <v>6.83E-2</v>
      </c>
      <c r="C49" s="9">
        <v>3.6670000000000001E-2</v>
      </c>
      <c r="D49" s="16">
        <v>0.17080500000000001</v>
      </c>
      <c r="E49" s="10">
        <f t="shared" si="0"/>
        <v>-1.4577786978709539E-2</v>
      </c>
    </row>
    <row r="50" spans="1:5" x14ac:dyDescent="0.35">
      <c r="A50" s="8">
        <v>40544</v>
      </c>
      <c r="B50" s="9">
        <v>0.02</v>
      </c>
      <c r="C50" s="9">
        <v>5.1958999999999998E-2</v>
      </c>
      <c r="D50" s="16">
        <v>-0.11054</v>
      </c>
      <c r="E50" s="10">
        <f t="shared" si="0"/>
        <v>0.1140435725295659</v>
      </c>
    </row>
    <row r="51" spans="1:5" x14ac:dyDescent="0.35">
      <c r="A51" s="8">
        <v>40575</v>
      </c>
      <c r="B51" s="9">
        <v>3.5000000000000003E-2</v>
      </c>
      <c r="C51" s="9">
        <v>4.0934999999999999E-2</v>
      </c>
      <c r="D51" s="16">
        <v>0.106936</v>
      </c>
      <c r="E51" s="10">
        <f t="shared" si="0"/>
        <v>1.5718574843390544E-2</v>
      </c>
    </row>
    <row r="52" spans="1:5" x14ac:dyDescent="0.35">
      <c r="A52" s="8">
        <v>40603</v>
      </c>
      <c r="B52" s="9">
        <v>4.5999999999999999E-3</v>
      </c>
      <c r="C52" s="9">
        <v>-1.3313999999999999E-2</v>
      </c>
      <c r="D52" s="16">
        <v>0.16905999999999999</v>
      </c>
      <c r="E52" s="10">
        <f t="shared" si="0"/>
        <v>-8.2992040052597554E-2</v>
      </c>
    </row>
    <row r="53" spans="1:5" x14ac:dyDescent="0.35">
      <c r="A53" s="8">
        <v>40634</v>
      </c>
      <c r="B53" s="9">
        <v>2.8999999999999998E-2</v>
      </c>
      <c r="C53" s="9">
        <v>4.6560000000000004E-3</v>
      </c>
      <c r="D53" s="16">
        <v>5.8625999999999998E-2</v>
      </c>
      <c r="E53" s="10">
        <f t="shared" si="0"/>
        <v>-1.5963846149334281E-2</v>
      </c>
    </row>
    <row r="54" spans="1:5" x14ac:dyDescent="0.35">
      <c r="A54" s="8">
        <v>40664</v>
      </c>
      <c r="B54" s="9">
        <v>-1.2699999999999999E-2</v>
      </c>
      <c r="C54" s="9">
        <v>-6.5690000000000002E-3</v>
      </c>
      <c r="D54" s="16">
        <v>-7.2257000000000002E-2</v>
      </c>
      <c r="E54" s="10">
        <f t="shared" si="0"/>
        <v>1.8527839982536046E-2</v>
      </c>
    </row>
    <row r="55" spans="1:5" x14ac:dyDescent="0.35">
      <c r="A55" s="8">
        <v>40695</v>
      </c>
      <c r="B55" s="9">
        <v>-1.7500000000000002E-2</v>
      </c>
      <c r="C55" s="9">
        <v>-3.4959999999999998E-2</v>
      </c>
      <c r="D55" s="16">
        <v>-2.8424999999999999E-2</v>
      </c>
      <c r="E55" s="10">
        <f t="shared" si="0"/>
        <v>-3.7456770327698716E-2</v>
      </c>
    </row>
    <row r="56" spans="1:5" x14ac:dyDescent="0.35">
      <c r="A56" s="8">
        <v>40725</v>
      </c>
      <c r="B56" s="9">
        <v>-2.3599999999999999E-2</v>
      </c>
      <c r="C56" s="9">
        <v>0.16328500000000001</v>
      </c>
      <c r="D56" s="16">
        <v>-0.115857</v>
      </c>
      <c r="E56" s="10">
        <f t="shared" si="0"/>
        <v>0.26993434396548954</v>
      </c>
    </row>
    <row r="57" spans="1:5" x14ac:dyDescent="0.35">
      <c r="A57" s="8">
        <v>40756</v>
      </c>
      <c r="B57" s="9">
        <v>-5.9800000000000006E-2</v>
      </c>
      <c r="C57" s="9">
        <v>-1.4468999999999999E-2</v>
      </c>
      <c r="D57" s="16">
        <v>-0.129715</v>
      </c>
      <c r="E57" s="10">
        <f t="shared" si="0"/>
        <v>2.9562031857072058E-2</v>
      </c>
    </row>
    <row r="58" spans="1:5" x14ac:dyDescent="0.35">
      <c r="A58" s="8">
        <v>40787</v>
      </c>
      <c r="B58" s="9">
        <v>-7.5899999999999995E-2</v>
      </c>
      <c r="C58" s="9">
        <v>-9.1210000000000006E-3</v>
      </c>
      <c r="D58" s="16">
        <v>-0.26463900000000001</v>
      </c>
      <c r="E58" s="10">
        <f t="shared" si="0"/>
        <v>8.8502528782390177E-2</v>
      </c>
    </row>
    <row r="59" spans="1:5" x14ac:dyDescent="0.35">
      <c r="A59" s="8">
        <v>40817</v>
      </c>
      <c r="B59" s="9">
        <v>0.11349999999999999</v>
      </c>
      <c r="C59" s="9">
        <v>6.1523000000000001E-2</v>
      </c>
      <c r="D59" s="16">
        <v>0.45811800000000003</v>
      </c>
      <c r="E59" s="10">
        <f t="shared" si="0"/>
        <v>-9.000058502121977E-2</v>
      </c>
    </row>
    <row r="60" spans="1:5" x14ac:dyDescent="0.35">
      <c r="A60" s="8">
        <v>40848</v>
      </c>
      <c r="B60" s="9">
        <v>-2.8000000000000004E-3</v>
      </c>
      <c r="C60" s="9">
        <v>-5.5782999999999999E-2</v>
      </c>
      <c r="D60" s="16">
        <v>-0.16312099999999999</v>
      </c>
      <c r="E60" s="10">
        <f t="shared" si="0"/>
        <v>-1.4773308579261756E-2</v>
      </c>
    </row>
    <row r="61" spans="1:5" x14ac:dyDescent="0.35">
      <c r="A61" s="8">
        <v>40878</v>
      </c>
      <c r="B61" s="9">
        <v>7.4000000000000003E-3</v>
      </c>
      <c r="C61" s="9">
        <v>5.9655E-2</v>
      </c>
      <c r="D61" s="16">
        <v>-9.1524999999999995E-2</v>
      </c>
      <c r="E61" s="10">
        <f t="shared" si="0"/>
        <v>0.1174150211387133</v>
      </c>
    </row>
    <row r="62" spans="1:5" x14ac:dyDescent="0.35">
      <c r="A62" s="8">
        <v>40909</v>
      </c>
      <c r="B62" s="9">
        <v>5.0499999999999996E-2</v>
      </c>
      <c r="C62" s="9">
        <v>0.127111</v>
      </c>
      <c r="D62" s="16">
        <v>0.338619</v>
      </c>
      <c r="E62" s="10">
        <f t="shared" si="0"/>
        <v>4.63019872271003E-2</v>
      </c>
    </row>
    <row r="63" spans="1:5" x14ac:dyDescent="0.35">
      <c r="A63" s="8">
        <v>40940</v>
      </c>
      <c r="B63" s="9">
        <v>4.4199999999999996E-2</v>
      </c>
      <c r="C63" s="9">
        <v>0.18831100000000001</v>
      </c>
      <c r="D63" s="16">
        <v>-0.101045</v>
      </c>
      <c r="E63" s="10">
        <f t="shared" si="0"/>
        <v>0.29886271766512457</v>
      </c>
    </row>
    <row r="64" spans="1:5" x14ac:dyDescent="0.35">
      <c r="A64" s="8">
        <v>40969</v>
      </c>
      <c r="B64" s="9">
        <v>3.1099999999999999E-2</v>
      </c>
      <c r="C64" s="9">
        <v>0.105284</v>
      </c>
      <c r="D64" s="16">
        <v>9.6898999999999999E-2</v>
      </c>
      <c r="E64" s="10">
        <f t="shared" si="0"/>
        <v>0.10848758365688657</v>
      </c>
    </row>
    <row r="65" spans="1:5" x14ac:dyDescent="0.35">
      <c r="A65" s="8">
        <v>41000</v>
      </c>
      <c r="B65" s="9">
        <v>-8.5000000000000006E-3</v>
      </c>
      <c r="C65" s="9">
        <v>-2.5968999999999999E-2</v>
      </c>
      <c r="D65" s="16">
        <v>-6.9964999999999999E-2</v>
      </c>
      <c r="E65" s="10">
        <f t="shared" si="0"/>
        <v>-9.1598328481357974E-3</v>
      </c>
    </row>
    <row r="66" spans="1:5" x14ac:dyDescent="0.35">
      <c r="A66" s="8">
        <v>41030</v>
      </c>
      <c r="B66" s="9">
        <v>-6.1800000000000008E-2</v>
      </c>
      <c r="C66" s="9">
        <v>-1.0702E-2</v>
      </c>
      <c r="D66" s="16">
        <v>0.12841900000000001</v>
      </c>
      <c r="E66" s="10">
        <f t="shared" si="0"/>
        <v>-6.3854744416185563E-2</v>
      </c>
    </row>
    <row r="67" spans="1:5" x14ac:dyDescent="0.35">
      <c r="A67" s="8">
        <v>41061</v>
      </c>
      <c r="B67" s="9">
        <v>3.8900000000000004E-2</v>
      </c>
      <c r="C67" s="9">
        <v>1.0853E-2</v>
      </c>
      <c r="D67" s="16">
        <v>2.3569E-2</v>
      </c>
      <c r="E67" s="10">
        <f t="shared" ref="E67:E121" si="2">SUMPRODUCT(C67:D67,$J$5:$K$5)</f>
        <v>5.994709030295817E-3</v>
      </c>
    </row>
    <row r="68" spans="1:5" x14ac:dyDescent="0.35">
      <c r="A68" s="8">
        <v>41091</v>
      </c>
      <c r="B68" s="9">
        <v>7.9000000000000008E-3</v>
      </c>
      <c r="C68" s="9">
        <v>4.5822000000000002E-2</v>
      </c>
      <c r="D68" s="16">
        <v>-5.4605000000000001E-2</v>
      </c>
      <c r="E68" s="10">
        <f t="shared" si="2"/>
        <v>8.4191266059647843E-2</v>
      </c>
    </row>
    <row r="69" spans="1:5" x14ac:dyDescent="0.35">
      <c r="A69" s="8">
        <v>41122</v>
      </c>
      <c r="B69" s="9">
        <v>2.5599999999999998E-2</v>
      </c>
      <c r="C69" s="9">
        <v>9.3538999999999997E-2</v>
      </c>
      <c r="D69" s="16">
        <v>0.14265800000000001</v>
      </c>
      <c r="E69" s="10">
        <f t="shared" si="2"/>
        <v>7.4772533018173951E-2</v>
      </c>
    </row>
    <row r="70" spans="1:5" x14ac:dyDescent="0.35">
      <c r="A70" s="8">
        <v>41153</v>
      </c>
      <c r="B70" s="9">
        <v>2.7399999999999997E-2</v>
      </c>
      <c r="C70" s="9">
        <v>2.8029999999999999E-3</v>
      </c>
      <c r="D70" s="16">
        <v>-6.3337000000000004E-2</v>
      </c>
      <c r="E70" s="10">
        <f t="shared" si="2"/>
        <v>2.8072531671613297E-2</v>
      </c>
    </row>
    <row r="71" spans="1:5" x14ac:dyDescent="0.35">
      <c r="A71" s="8">
        <v>41183</v>
      </c>
      <c r="B71" s="9">
        <v>-1.7500000000000002E-2</v>
      </c>
      <c r="C71" s="9">
        <v>-0.10760699999999999</v>
      </c>
      <c r="D71" s="16">
        <v>7.4772000000000005E-2</v>
      </c>
      <c r="E71" s="10">
        <f t="shared" si="2"/>
        <v>-0.17728695035889264</v>
      </c>
    </row>
    <row r="72" spans="1:5" x14ac:dyDescent="0.35">
      <c r="A72" s="8">
        <v>41214</v>
      </c>
      <c r="B72" s="9">
        <v>7.9000000000000008E-3</v>
      </c>
      <c r="C72" s="9">
        <v>-1.2413E-2</v>
      </c>
      <c r="D72" s="16">
        <v>0.14579600000000001</v>
      </c>
      <c r="E72" s="10">
        <f t="shared" si="2"/>
        <v>-7.2858529728368121E-2</v>
      </c>
    </row>
    <row r="73" spans="1:5" x14ac:dyDescent="0.35">
      <c r="A73" s="8">
        <v>41244</v>
      </c>
      <c r="B73" s="9">
        <v>1.1899999999999999E-2</v>
      </c>
      <c r="C73" s="9">
        <v>-9.0737999999999999E-2</v>
      </c>
      <c r="D73" s="16">
        <v>4.6462000000000003E-2</v>
      </c>
      <c r="E73" s="10">
        <f t="shared" si="2"/>
        <v>-0.14315680473760725</v>
      </c>
    </row>
    <row r="74" spans="1:5" x14ac:dyDescent="0.35">
      <c r="A74" s="8">
        <v>41275</v>
      </c>
      <c r="B74" s="9">
        <v>5.57E-2</v>
      </c>
      <c r="C74" s="9">
        <v>-0.144094</v>
      </c>
      <c r="D74" s="16">
        <v>8.6277000000000006E-2</v>
      </c>
      <c r="E74" s="10">
        <f t="shared" si="2"/>
        <v>-0.23210983430180265</v>
      </c>
    </row>
    <row r="75" spans="1:5" x14ac:dyDescent="0.35">
      <c r="A75" s="8">
        <v>41306</v>
      </c>
      <c r="B75" s="9">
        <v>1.29E-2</v>
      </c>
      <c r="C75" s="9">
        <v>-2.5115999999999999E-2</v>
      </c>
      <c r="D75" s="16">
        <v>8.5461999999999996E-2</v>
      </c>
      <c r="E75" s="10">
        <f t="shared" si="2"/>
        <v>-6.7363569899964545E-2</v>
      </c>
    </row>
    <row r="76" spans="1:5" x14ac:dyDescent="0.35">
      <c r="A76" s="8">
        <v>41334</v>
      </c>
      <c r="B76" s="9">
        <v>4.0300000000000002E-2</v>
      </c>
      <c r="C76" s="9">
        <v>2.8549999999999999E-3</v>
      </c>
      <c r="D76" s="16">
        <v>0.19084300000000001</v>
      </c>
      <c r="E76" s="10">
        <f t="shared" si="2"/>
        <v>-6.8967931960738443E-2</v>
      </c>
    </row>
    <row r="77" spans="1:5" x14ac:dyDescent="0.35">
      <c r="A77" s="8">
        <v>41365</v>
      </c>
      <c r="B77" s="9">
        <v>1.55E-2</v>
      </c>
      <c r="C77" s="9">
        <v>2.7099999999999997E-4</v>
      </c>
      <c r="D77" s="16">
        <v>3.6291999999999998E-2</v>
      </c>
      <c r="E77" s="10">
        <f t="shared" si="2"/>
        <v>-1.3491228611176027E-2</v>
      </c>
    </row>
    <row r="78" spans="1:5" x14ac:dyDescent="0.35">
      <c r="A78" s="8">
        <v>41395</v>
      </c>
      <c r="B78" s="9">
        <v>2.7999999999999997E-2</v>
      </c>
      <c r="C78" s="9">
        <v>2.2596000000000002E-2</v>
      </c>
      <c r="D78" s="16">
        <v>0.14979200000000001</v>
      </c>
      <c r="E78" s="10">
        <f t="shared" si="2"/>
        <v>-2.6000663902366567E-2</v>
      </c>
    </row>
    <row r="79" spans="1:5" x14ac:dyDescent="0.35">
      <c r="A79" s="8">
        <v>41426</v>
      </c>
      <c r="B79" s="9">
        <v>-1.2E-2</v>
      </c>
      <c r="C79" s="9">
        <v>-0.11830300000000001</v>
      </c>
      <c r="D79" s="16">
        <v>-0.132992</v>
      </c>
      <c r="E79" s="10">
        <f t="shared" si="2"/>
        <v>-0.11269090216624846</v>
      </c>
    </row>
    <row r="80" spans="1:5" x14ac:dyDescent="0.35">
      <c r="A80" s="8">
        <v>41456</v>
      </c>
      <c r="B80" s="9">
        <v>5.6500000000000002E-2</v>
      </c>
      <c r="C80" s="9">
        <v>0.14122499999999999</v>
      </c>
      <c r="D80" s="16">
        <v>0.100522</v>
      </c>
      <c r="E80" s="10">
        <f t="shared" si="2"/>
        <v>0.15677603942590981</v>
      </c>
    </row>
    <row r="81" spans="1:5" x14ac:dyDescent="0.35">
      <c r="A81" s="8">
        <v>41487</v>
      </c>
      <c r="B81" s="9">
        <v>-2.7099999999999999E-2</v>
      </c>
      <c r="C81" s="9">
        <v>8.3389000000000005E-2</v>
      </c>
      <c r="D81" s="16">
        <v>-0.153919</v>
      </c>
      <c r="E81" s="10">
        <f t="shared" si="2"/>
        <v>0.17405519325562757</v>
      </c>
    </row>
    <row r="82" spans="1:5" x14ac:dyDescent="0.35">
      <c r="A82" s="8">
        <v>41518</v>
      </c>
      <c r="B82" s="9">
        <v>3.7699999999999997E-2</v>
      </c>
      <c r="C82" s="9">
        <v>-2.1481E-2</v>
      </c>
      <c r="D82" s="16">
        <v>7.6952000000000007E-2</v>
      </c>
      <c r="E82" s="10">
        <f t="shared" si="2"/>
        <v>-5.9088435909161047E-2</v>
      </c>
    </row>
    <row r="83" spans="1:5" x14ac:dyDescent="0.35">
      <c r="A83" s="8">
        <v>41548</v>
      </c>
      <c r="B83" s="9">
        <v>4.1799999999999997E-2</v>
      </c>
      <c r="C83" s="9">
        <v>9.6385999999999999E-2</v>
      </c>
      <c r="D83" s="16">
        <v>8.6715E-2</v>
      </c>
      <c r="E83" s="10">
        <f t="shared" si="2"/>
        <v>0.10008091443598688</v>
      </c>
    </row>
    <row r="84" spans="1:5" x14ac:dyDescent="0.35">
      <c r="A84" s="8">
        <v>41579</v>
      </c>
      <c r="B84" s="9">
        <v>3.1200000000000002E-2</v>
      </c>
      <c r="C84" s="9">
        <v>6.9672999999999999E-2</v>
      </c>
      <c r="D84" s="16">
        <v>0.176508</v>
      </c>
      <c r="E84" s="10">
        <f t="shared" si="2"/>
        <v>2.8855485392549035E-2</v>
      </c>
    </row>
    <row r="85" spans="1:5" x14ac:dyDescent="0.35">
      <c r="A85" s="8">
        <v>41609</v>
      </c>
      <c r="B85" s="9">
        <v>2.81E-2</v>
      </c>
      <c r="C85" s="9">
        <v>8.9020000000000002E-3</v>
      </c>
      <c r="D85" s="16">
        <v>9.6582000000000001E-2</v>
      </c>
      <c r="E85" s="10">
        <f t="shared" si="2"/>
        <v>-2.4597131190914025E-2</v>
      </c>
    </row>
    <row r="86" spans="1:5" x14ac:dyDescent="0.35">
      <c r="A86" s="8">
        <v>41640</v>
      </c>
      <c r="B86" s="9">
        <v>-3.32E-2</v>
      </c>
      <c r="C86" s="9">
        <v>-0.107697</v>
      </c>
      <c r="D86" s="16">
        <v>-6.7045999999999994E-2</v>
      </c>
      <c r="E86" s="10">
        <f t="shared" si="2"/>
        <v>-0.12322817224044078</v>
      </c>
    </row>
    <row r="87" spans="1:5" x14ac:dyDescent="0.35">
      <c r="A87" s="8">
        <v>41671</v>
      </c>
      <c r="B87" s="9">
        <v>4.6500000000000007E-2</v>
      </c>
      <c r="C87" s="9">
        <v>5.7311000000000001E-2</v>
      </c>
      <c r="D87" s="16">
        <v>0.246089</v>
      </c>
      <c r="E87" s="10">
        <f t="shared" si="2"/>
        <v>-1.4813760355364594E-2</v>
      </c>
    </row>
    <row r="88" spans="1:5" x14ac:dyDescent="0.35">
      <c r="A88" s="8">
        <v>41699</v>
      </c>
      <c r="B88" s="9">
        <v>4.3E-3</v>
      </c>
      <c r="C88" s="9">
        <v>1.9952999999999999E-2</v>
      </c>
      <c r="D88" s="16">
        <v>3.6391E-2</v>
      </c>
      <c r="E88" s="10">
        <f t="shared" si="2"/>
        <v>1.3672677024221659E-2</v>
      </c>
    </row>
    <row r="89" spans="1:5" x14ac:dyDescent="0.35">
      <c r="A89" s="8">
        <v>41730</v>
      </c>
      <c r="B89" s="9">
        <v>-1.9E-3</v>
      </c>
      <c r="C89" s="9">
        <v>9.9395999999999998E-2</v>
      </c>
      <c r="D89" s="16">
        <v>7.9877000000000004E-2</v>
      </c>
      <c r="E89" s="10">
        <f t="shared" si="2"/>
        <v>0.10685345371482037</v>
      </c>
    </row>
    <row r="90" spans="1:5" x14ac:dyDescent="0.35">
      <c r="A90" s="8">
        <v>41760</v>
      </c>
      <c r="B90" s="9">
        <v>2.06E-2</v>
      </c>
      <c r="C90" s="9">
        <v>7.8293000000000001E-2</v>
      </c>
      <c r="D90" s="16">
        <v>8.8230000000000003E-2</v>
      </c>
      <c r="E90" s="10">
        <f t="shared" si="2"/>
        <v>7.4496457269113678E-2</v>
      </c>
    </row>
    <row r="91" spans="1:5" x14ac:dyDescent="0.35">
      <c r="A91" s="8">
        <v>41791</v>
      </c>
      <c r="B91" s="9">
        <v>2.6099999999999998E-2</v>
      </c>
      <c r="C91" s="9">
        <v>2.7661999999999999E-2</v>
      </c>
      <c r="D91" s="16">
        <v>4.2984000000000001E-2</v>
      </c>
      <c r="E91" s="10">
        <f t="shared" si="2"/>
        <v>2.1808057389288493E-2</v>
      </c>
    </row>
    <row r="92" spans="1:5" x14ac:dyDescent="0.35">
      <c r="A92" s="8">
        <v>41821</v>
      </c>
      <c r="B92" s="9">
        <v>-2.0400000000000001E-2</v>
      </c>
      <c r="C92" s="9">
        <v>2.8731E-2</v>
      </c>
      <c r="D92" s="16">
        <v>-5.8636000000000001E-2</v>
      </c>
      <c r="E92" s="10">
        <f t="shared" si="2"/>
        <v>6.2110546016840615E-2</v>
      </c>
    </row>
    <row r="93" spans="1:5" x14ac:dyDescent="0.35">
      <c r="A93" s="8">
        <v>41852</v>
      </c>
      <c r="B93" s="9">
        <v>4.24E-2</v>
      </c>
      <c r="C93" s="9">
        <v>7.7091999999999994E-2</v>
      </c>
      <c r="D93" s="16">
        <v>0.201459</v>
      </c>
      <c r="E93" s="10">
        <f t="shared" si="2"/>
        <v>2.9576187399402321E-2</v>
      </c>
    </row>
    <row r="94" spans="1:5" x14ac:dyDescent="0.35">
      <c r="A94" s="8">
        <v>41883</v>
      </c>
      <c r="B94" s="9">
        <v>-1.9699999999999999E-2</v>
      </c>
      <c r="C94" s="9">
        <v>-1.7073000000000001E-2</v>
      </c>
      <c r="D94" s="16">
        <v>-0.18693499999999999</v>
      </c>
      <c r="E94" s="10">
        <f t="shared" si="2"/>
        <v>4.7824689579733549E-2</v>
      </c>
    </row>
    <row r="95" spans="1:5" x14ac:dyDescent="0.35">
      <c r="A95" s="8">
        <v>41913</v>
      </c>
      <c r="B95" s="9">
        <v>2.52E-2</v>
      </c>
      <c r="C95" s="9">
        <v>7.1959999999999996E-2</v>
      </c>
      <c r="D95" s="16">
        <v>1.5668000000000001E-2</v>
      </c>
      <c r="E95" s="10">
        <f t="shared" si="2"/>
        <v>9.346699239277978E-2</v>
      </c>
    </row>
    <row r="96" spans="1:5" x14ac:dyDescent="0.35">
      <c r="A96" s="8">
        <v>41944</v>
      </c>
      <c r="B96" s="9">
        <v>2.5499999999999998E-2</v>
      </c>
      <c r="C96" s="9">
        <v>0.105556</v>
      </c>
      <c r="D96" s="16">
        <v>7.8923999999999994E-2</v>
      </c>
      <c r="E96" s="10">
        <f t="shared" si="2"/>
        <v>0.11573105545023293</v>
      </c>
    </row>
    <row r="97" spans="1:5" x14ac:dyDescent="0.35">
      <c r="A97" s="8">
        <v>41974</v>
      </c>
      <c r="B97" s="9">
        <v>-5.9999999999999995E-4</v>
      </c>
      <c r="C97" s="9">
        <v>-7.1890999999999997E-2</v>
      </c>
      <c r="D97" s="16">
        <v>0.102743</v>
      </c>
      <c r="E97" s="10">
        <f t="shared" si="2"/>
        <v>-0.13861188590777918</v>
      </c>
    </row>
    <row r="98" spans="1:5" x14ac:dyDescent="0.35">
      <c r="A98" s="8">
        <v>42005</v>
      </c>
      <c r="B98" s="9">
        <v>-3.1099999999999999E-2</v>
      </c>
      <c r="C98" s="9">
        <v>6.1423999999999999E-2</v>
      </c>
      <c r="D98" s="16">
        <v>-0.135987</v>
      </c>
      <c r="E98" s="10">
        <f t="shared" si="2"/>
        <v>0.13684709520448823</v>
      </c>
    </row>
    <row r="99" spans="1:5" x14ac:dyDescent="0.35">
      <c r="A99" s="8">
        <v>42036</v>
      </c>
      <c r="B99" s="9">
        <v>6.13E-2</v>
      </c>
      <c r="C99" s="9">
        <v>0.10046099999999999</v>
      </c>
      <c r="D99" s="16">
        <v>5.7756000000000002E-2</v>
      </c>
      <c r="E99" s="10">
        <f t="shared" si="2"/>
        <v>0.11677692606646876</v>
      </c>
    </row>
    <row r="100" spans="1:5" x14ac:dyDescent="0.35">
      <c r="A100" s="8">
        <v>42064</v>
      </c>
      <c r="B100" s="9">
        <v>-1.1200000000000002E-2</v>
      </c>
      <c r="C100" s="9">
        <v>-3.1371999999999997E-2</v>
      </c>
      <c r="D100" s="16">
        <v>-2.6476E-2</v>
      </c>
      <c r="E100" s="10">
        <f t="shared" si="2"/>
        <v>-3.3242571924164174E-2</v>
      </c>
    </row>
    <row r="101" spans="1:5" x14ac:dyDescent="0.35">
      <c r="A101" s="8">
        <v>42095</v>
      </c>
      <c r="B101" s="9">
        <v>5.8999999999999999E-3</v>
      </c>
      <c r="C101" s="9">
        <v>5.7860000000000003E-3</v>
      </c>
      <c r="D101" s="16">
        <v>-8.2605999999999999E-2</v>
      </c>
      <c r="E101" s="10">
        <f t="shared" si="2"/>
        <v>3.9557158807336595E-2</v>
      </c>
    </row>
    <row r="102" spans="1:5" x14ac:dyDescent="0.35">
      <c r="A102" s="8">
        <v>42125</v>
      </c>
      <c r="B102" s="9">
        <v>1.3600000000000001E-2</v>
      </c>
      <c r="C102" s="9">
        <v>4.5145999999999999E-2</v>
      </c>
      <c r="D102" s="16">
        <v>-5.7998000000000001E-2</v>
      </c>
      <c r="E102" s="10">
        <f t="shared" si="2"/>
        <v>8.4553326500406437E-2</v>
      </c>
    </row>
    <row r="103" spans="1:5" x14ac:dyDescent="0.35">
      <c r="A103" s="8">
        <v>42156</v>
      </c>
      <c r="B103" s="9">
        <v>-1.5300000000000001E-2</v>
      </c>
      <c r="C103" s="9">
        <v>-3.7266000000000001E-2</v>
      </c>
      <c r="D103" s="16">
        <v>-0.135686</v>
      </c>
      <c r="E103" s="10">
        <f t="shared" si="2"/>
        <v>3.3646911279378022E-4</v>
      </c>
    </row>
    <row r="104" spans="1:5" x14ac:dyDescent="0.35">
      <c r="A104" s="8">
        <v>42186</v>
      </c>
      <c r="B104" s="9">
        <v>1.54E-2</v>
      </c>
      <c r="C104" s="9">
        <v>-3.2888000000000001E-2</v>
      </c>
      <c r="D104" s="16">
        <v>-1.4746E-2</v>
      </c>
      <c r="E104" s="10">
        <f t="shared" si="2"/>
        <v>-3.9819355361149202E-2</v>
      </c>
    </row>
    <row r="105" spans="1:5" x14ac:dyDescent="0.35">
      <c r="A105" s="8">
        <v>42217</v>
      </c>
      <c r="B105" s="9">
        <v>-6.0400000000000002E-2</v>
      </c>
      <c r="C105" s="9">
        <v>-6.6116999999999995E-2</v>
      </c>
      <c r="D105" s="16">
        <v>1.6118E-2</v>
      </c>
      <c r="E105" s="10">
        <f t="shared" si="2"/>
        <v>-9.7535807635547603E-2</v>
      </c>
    </row>
    <row r="106" spans="1:5" x14ac:dyDescent="0.35">
      <c r="A106" s="8">
        <v>42248</v>
      </c>
      <c r="B106" s="9">
        <v>-3.0800000000000001E-2</v>
      </c>
      <c r="C106" s="9">
        <v>-2.1815999999999999E-2</v>
      </c>
      <c r="D106" s="16">
        <v>-1.0196999999999999E-2</v>
      </c>
      <c r="E106" s="10">
        <f t="shared" si="2"/>
        <v>-2.6255169768558736E-2</v>
      </c>
    </row>
    <row r="107" spans="1:5" x14ac:dyDescent="0.35">
      <c r="A107" s="8">
        <v>42278</v>
      </c>
      <c r="B107" s="9">
        <v>7.7499999999999999E-2</v>
      </c>
      <c r="C107" s="9">
        <v>8.3408999999999997E-2</v>
      </c>
      <c r="D107" s="16">
        <v>0.143315</v>
      </c>
      <c r="E107" s="10">
        <f t="shared" si="2"/>
        <v>6.0521238217120257E-2</v>
      </c>
    </row>
    <row r="108" spans="1:5" x14ac:dyDescent="0.35">
      <c r="A108" s="8">
        <v>42309</v>
      </c>
      <c r="B108" s="9">
        <v>5.6000000000000008E-3</v>
      </c>
      <c r="C108" s="9">
        <v>-5.6899999999999997E-3</v>
      </c>
      <c r="D108" s="16">
        <v>-0.25130200000000003</v>
      </c>
      <c r="E108" s="10">
        <f t="shared" si="2"/>
        <v>8.8148829950533497E-2</v>
      </c>
    </row>
    <row r="109" spans="1:5" x14ac:dyDescent="0.35">
      <c r="A109" s="8">
        <v>42339</v>
      </c>
      <c r="B109" s="9">
        <v>-2.1600000000000001E-2</v>
      </c>
      <c r="C109" s="9">
        <v>-0.11022800000000001</v>
      </c>
      <c r="D109" s="16">
        <v>-2.9420000000000002E-2</v>
      </c>
      <c r="E109" s="10">
        <f t="shared" si="2"/>
        <v>-0.14110160621892542</v>
      </c>
    </row>
    <row r="110" spans="1:5" x14ac:dyDescent="0.35">
      <c r="A110" s="8">
        <v>42370</v>
      </c>
      <c r="B110" s="9">
        <v>-5.7599999999999998E-2</v>
      </c>
      <c r="C110" s="9">
        <v>-7.5242000000000003E-2</v>
      </c>
      <c r="D110" s="16">
        <v>-0.27610899999999999</v>
      </c>
      <c r="E110" s="10">
        <f t="shared" si="2"/>
        <v>1.5014989156629521E-3</v>
      </c>
    </row>
    <row r="111" spans="1:5" x14ac:dyDescent="0.35">
      <c r="A111" s="8">
        <v>42401</v>
      </c>
      <c r="B111" s="9">
        <v>-5.0000000000000001E-4</v>
      </c>
      <c r="C111" s="9">
        <v>-1.335E-3</v>
      </c>
      <c r="D111" s="16">
        <v>-2.3982E-2</v>
      </c>
      <c r="E111" s="10">
        <f t="shared" si="2"/>
        <v>7.3175413330363809E-3</v>
      </c>
    </row>
    <row r="112" spans="1:5" x14ac:dyDescent="0.35">
      <c r="A112" s="8">
        <v>42430</v>
      </c>
      <c r="B112" s="9">
        <v>6.9800000000000001E-2</v>
      </c>
      <c r="C112" s="9">
        <v>0.12721099999999999</v>
      </c>
      <c r="D112" s="16">
        <v>6.7083000000000004E-2</v>
      </c>
      <c r="E112" s="10">
        <f t="shared" si="2"/>
        <v>0.15018357938238228</v>
      </c>
    </row>
    <row r="113" spans="1:5" x14ac:dyDescent="0.35">
      <c r="A113" s="8">
        <v>42461</v>
      </c>
      <c r="B113" s="9">
        <v>9.300000000000001E-3</v>
      </c>
      <c r="C113" s="9">
        <v>-0.13992099999999999</v>
      </c>
      <c r="D113" s="16">
        <v>-8.2601999999999995E-2</v>
      </c>
      <c r="E113" s="10">
        <f t="shared" si="2"/>
        <v>-0.1618203693057938</v>
      </c>
    </row>
    <row r="114" spans="1:5" x14ac:dyDescent="0.35">
      <c r="A114" s="8">
        <v>42491</v>
      </c>
      <c r="B114" s="9">
        <v>1.7899999999999999E-2</v>
      </c>
      <c r="C114" s="9">
        <v>7.1368000000000001E-2</v>
      </c>
      <c r="D114" s="16">
        <v>0.195219</v>
      </c>
      <c r="E114" s="10">
        <f t="shared" si="2"/>
        <v>2.4049331009056873E-2</v>
      </c>
    </row>
    <row r="115" spans="1:5" x14ac:dyDescent="0.35">
      <c r="A115" s="8">
        <v>42522</v>
      </c>
      <c r="B115" s="9">
        <v>-3.0000000000000003E-4</v>
      </c>
      <c r="C115" s="9">
        <v>-4.2659999999999997E-2</v>
      </c>
      <c r="D115" s="16">
        <v>7.4332999999999996E-2</v>
      </c>
      <c r="E115" s="10">
        <f t="shared" si="2"/>
        <v>-8.735849287658079E-2</v>
      </c>
    </row>
    <row r="116" spans="1:5" x14ac:dyDescent="0.35">
      <c r="A116" s="8">
        <v>42552</v>
      </c>
      <c r="B116" s="9">
        <v>3.9699999999999999E-2</v>
      </c>
      <c r="C116" s="9">
        <v>9.0063000000000004E-2</v>
      </c>
      <c r="D116" s="16">
        <v>0.139621</v>
      </c>
      <c r="E116" s="10">
        <f t="shared" si="2"/>
        <v>7.1128808125464002E-2</v>
      </c>
    </row>
    <row r="117" spans="1:5" x14ac:dyDescent="0.35">
      <c r="A117" s="8">
        <v>42583</v>
      </c>
      <c r="B117" s="9">
        <v>5.1999999999999998E-3</v>
      </c>
      <c r="C117" s="9">
        <v>2.3605999999999999E-2</v>
      </c>
      <c r="D117" s="16">
        <v>-1.6334999999999999E-2</v>
      </c>
      <c r="E117" s="10">
        <f t="shared" si="2"/>
        <v>3.8865908746536233E-2</v>
      </c>
    </row>
    <row r="118" spans="1:5" x14ac:dyDescent="0.35">
      <c r="A118" s="8">
        <v>42614</v>
      </c>
      <c r="B118" s="9">
        <v>2.7000000000000001E-3</v>
      </c>
      <c r="C118" s="9">
        <v>6.5504000000000007E-2</v>
      </c>
      <c r="D118" s="16">
        <v>-5.3141000000000001E-2</v>
      </c>
      <c r="E118" s="10">
        <f t="shared" si="2"/>
        <v>0.11083365807648261</v>
      </c>
    </row>
    <row r="119" spans="1:5" x14ac:dyDescent="0.35">
      <c r="A119" s="8">
        <v>42644</v>
      </c>
      <c r="B119" s="9">
        <v>-0.02</v>
      </c>
      <c r="C119" s="9">
        <v>4.3340000000000002E-3</v>
      </c>
      <c r="D119" s="16">
        <v>-5.4078000000000001E-2</v>
      </c>
      <c r="E119" s="10">
        <f t="shared" si="2"/>
        <v>2.6650962261903173E-2</v>
      </c>
    </row>
    <row r="120" spans="1:5" x14ac:dyDescent="0.35">
      <c r="A120" s="8">
        <v>42675</v>
      </c>
      <c r="B120" s="9">
        <v>4.87E-2</v>
      </c>
      <c r="C120" s="9">
        <v>-2.1578E-2</v>
      </c>
      <c r="D120" s="16">
        <v>0.183251</v>
      </c>
      <c r="E120" s="10">
        <f t="shared" si="2"/>
        <v>-9.9835225623902013E-2</v>
      </c>
    </row>
    <row r="121" spans="1:5" x14ac:dyDescent="0.35">
      <c r="A121" s="8">
        <v>42705</v>
      </c>
      <c r="B121" s="9">
        <v>1.8500000000000003E-2</v>
      </c>
      <c r="C121" s="9">
        <v>4.7954999999999998E-2</v>
      </c>
      <c r="D121" s="16">
        <v>-4.2048000000000002E-2</v>
      </c>
      <c r="E121" s="10">
        <f t="shared" si="2"/>
        <v>8.2341659495618544E-2</v>
      </c>
    </row>
  </sheetData>
  <pageMargins left="0.7" right="0.7" top="0.75" bottom="0.75" header="0.3" footer="0.3"/>
  <ignoredErrors>
    <ignoredError sqref="E2:E1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VaR</vt:lpstr>
      <vt:lpstr>International Diversification</vt:lpstr>
      <vt:lpstr>Statistical Arbitrage</vt:lpstr>
      <vt:lpstr>Investment Weights</vt:lpstr>
      <vt:lpstr>Rf</vt:lpstr>
      <vt:lpstr>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2015-06-05T18:17:20Z</dcterms:created>
  <dcterms:modified xsi:type="dcterms:W3CDTF">2024-02-09T19:49:55Z</dcterms:modified>
</cp:coreProperties>
</file>