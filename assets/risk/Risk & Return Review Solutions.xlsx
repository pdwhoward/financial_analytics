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\Courses\Teaching\Financial Analytics\Course\3 - Risk &amp; Return\4 - Exercises\1 - Review\"/>
    </mc:Choice>
  </mc:AlternateContent>
  <xr:revisionPtr revIDLastSave="0" documentId="13_ncr:1_{6FC043F5-A812-4F8A-AC57-A139635523EA}" xr6:coauthVersionLast="47" xr6:coauthVersionMax="47" xr10:uidLastSave="{00000000-0000-0000-0000-000000000000}"/>
  <bookViews>
    <workbookView xWindow="-98" yWindow="-98" windowWidth="17115" windowHeight="10876" activeTab="3" xr2:uid="{6EE16BD3-821C-4EF1-8275-74C7E8006C6F}"/>
  </bookViews>
  <sheets>
    <sheet name="Problems 1-4" sheetId="1" r:id="rId1"/>
    <sheet name="Problems 5-8" sheetId="3" r:id="rId2"/>
    <sheet name="Problems 9-10" sheetId="5" r:id="rId3"/>
    <sheet name="Problem 11" sheetId="6" r:id="rId4"/>
  </sheets>
  <definedNames>
    <definedName name="solver_adj" localSheetId="3" hidden="1">'Problem 11'!$H$6:$J$6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'Problem 11'!$H$6:$J$6</definedName>
    <definedName name="solver_lhs2" localSheetId="3" hidden="1">'Problem 11'!$K$6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2</definedName>
    <definedName name="solver_nod" localSheetId="3" hidden="1">2147483647</definedName>
    <definedName name="solver_num" localSheetId="3" hidden="1">2</definedName>
    <definedName name="solver_nwt" localSheetId="3" hidden="1">1</definedName>
    <definedName name="solver_opt" localSheetId="3" hidden="1">'Problem 11'!$K$5</definedName>
    <definedName name="solver_pre" localSheetId="3" hidden="1">0.000001</definedName>
    <definedName name="solver_rbv" localSheetId="3" hidden="1">1</definedName>
    <definedName name="solver_rel1" localSheetId="3" hidden="1">3</definedName>
    <definedName name="solver_rel2" localSheetId="3" hidden="1">2</definedName>
    <definedName name="solver_rhs1" localSheetId="3" hidden="1">20%</definedName>
    <definedName name="solver_rhs2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2" i="6"/>
  <c r="B11" i="1"/>
  <c r="J4" i="6"/>
  <c r="I4" i="6"/>
  <c r="J3" i="6"/>
  <c r="J5" i="6" s="1"/>
  <c r="I3" i="6"/>
  <c r="I5" i="6" s="1"/>
  <c r="H3" i="6"/>
  <c r="J2" i="6"/>
  <c r="I2" i="6"/>
  <c r="H2" i="6"/>
  <c r="H4" i="6" s="1"/>
  <c r="K6" i="6"/>
  <c r="J2" i="5"/>
  <c r="L2" i="6"/>
  <c r="L5" i="6"/>
  <c r="L3" i="6"/>
  <c r="L4" i="6"/>
  <c r="H5" i="6" l="1"/>
  <c r="K3" i="6" l="1"/>
  <c r="K2" i="6"/>
  <c r="K4" i="6" s="1"/>
  <c r="K5" i="6" l="1"/>
  <c r="D3" i="5"/>
  <c r="E3" i="5"/>
  <c r="D4" i="5"/>
  <c r="E4" i="5"/>
  <c r="D5" i="5"/>
  <c r="E5" i="5"/>
  <c r="D6" i="5"/>
  <c r="E6" i="5"/>
  <c r="D7" i="5"/>
  <c r="E7" i="5"/>
  <c r="D8" i="5"/>
  <c r="E8" i="5"/>
  <c r="D9" i="5"/>
  <c r="E9" i="5"/>
  <c r="D10" i="5"/>
  <c r="E10" i="5"/>
  <c r="D11" i="5"/>
  <c r="E11" i="5"/>
  <c r="D12" i="5"/>
  <c r="E12" i="5"/>
  <c r="D13" i="5"/>
  <c r="E13" i="5"/>
  <c r="D14" i="5"/>
  <c r="E14" i="5"/>
  <c r="D15" i="5"/>
  <c r="E15" i="5"/>
  <c r="D16" i="5"/>
  <c r="E16" i="5"/>
  <c r="D17" i="5"/>
  <c r="E17" i="5"/>
  <c r="D18" i="5"/>
  <c r="E18" i="5"/>
  <c r="D19" i="5"/>
  <c r="E19" i="5"/>
  <c r="D20" i="5"/>
  <c r="E20" i="5"/>
  <c r="D21" i="5"/>
  <c r="E21" i="5"/>
  <c r="D22" i="5"/>
  <c r="E22" i="5"/>
  <c r="D23" i="5"/>
  <c r="E23" i="5"/>
  <c r="D24" i="5"/>
  <c r="E24" i="5"/>
  <c r="D25" i="5"/>
  <c r="E25" i="5"/>
  <c r="D26" i="5"/>
  <c r="E26" i="5"/>
  <c r="D27" i="5"/>
  <c r="E27" i="5"/>
  <c r="D28" i="5"/>
  <c r="E28" i="5"/>
  <c r="D29" i="5"/>
  <c r="E29" i="5"/>
  <c r="D30" i="5"/>
  <c r="E30" i="5"/>
  <c r="D31" i="5"/>
  <c r="E31" i="5"/>
  <c r="D32" i="5"/>
  <c r="E32" i="5"/>
  <c r="D33" i="5"/>
  <c r="E33" i="5"/>
  <c r="D34" i="5"/>
  <c r="E34" i="5"/>
  <c r="D35" i="5"/>
  <c r="E35" i="5"/>
  <c r="D36" i="5"/>
  <c r="E36" i="5"/>
  <c r="D37" i="5"/>
  <c r="E37" i="5"/>
  <c r="D38" i="5"/>
  <c r="E38" i="5"/>
  <c r="D39" i="5"/>
  <c r="E39" i="5"/>
  <c r="D40" i="5"/>
  <c r="E40" i="5"/>
  <c r="D41" i="5"/>
  <c r="E41" i="5"/>
  <c r="D42" i="5"/>
  <c r="E42" i="5"/>
  <c r="D43" i="5"/>
  <c r="E43" i="5"/>
  <c r="D44" i="5"/>
  <c r="E44" i="5"/>
  <c r="D45" i="5"/>
  <c r="E45" i="5"/>
  <c r="D46" i="5"/>
  <c r="E46" i="5"/>
  <c r="D47" i="5"/>
  <c r="E47" i="5"/>
  <c r="D48" i="5"/>
  <c r="E48" i="5"/>
  <c r="D49" i="5"/>
  <c r="E49" i="5"/>
  <c r="D50" i="5"/>
  <c r="E50" i="5"/>
  <c r="D51" i="5"/>
  <c r="E51" i="5"/>
  <c r="D52" i="5"/>
  <c r="E52" i="5"/>
  <c r="D53" i="5"/>
  <c r="E53" i="5"/>
  <c r="D54" i="5"/>
  <c r="E54" i="5"/>
  <c r="D55" i="5"/>
  <c r="E55" i="5"/>
  <c r="D56" i="5"/>
  <c r="E56" i="5"/>
  <c r="D57" i="5"/>
  <c r="E57" i="5"/>
  <c r="D58" i="5"/>
  <c r="E58" i="5"/>
  <c r="D59" i="5"/>
  <c r="E59" i="5"/>
  <c r="D60" i="5"/>
  <c r="E60" i="5"/>
  <c r="D61" i="5"/>
  <c r="E61" i="5"/>
  <c r="D62" i="5"/>
  <c r="E62" i="5"/>
  <c r="D63" i="5"/>
  <c r="E63" i="5"/>
  <c r="D64" i="5"/>
  <c r="E64" i="5"/>
  <c r="D65" i="5"/>
  <c r="E65" i="5"/>
  <c r="D66" i="5"/>
  <c r="E66" i="5"/>
  <c r="D67" i="5"/>
  <c r="E67" i="5"/>
  <c r="D68" i="5"/>
  <c r="E68" i="5"/>
  <c r="D69" i="5"/>
  <c r="E69" i="5"/>
  <c r="D70" i="5"/>
  <c r="E70" i="5"/>
  <c r="D71" i="5"/>
  <c r="E71" i="5"/>
  <c r="D72" i="5"/>
  <c r="E72" i="5"/>
  <c r="D73" i="5"/>
  <c r="E73" i="5"/>
  <c r="D74" i="5"/>
  <c r="E74" i="5"/>
  <c r="D75" i="5"/>
  <c r="E75" i="5"/>
  <c r="D76" i="5"/>
  <c r="E76" i="5"/>
  <c r="D77" i="5"/>
  <c r="E77" i="5"/>
  <c r="D78" i="5"/>
  <c r="E78" i="5"/>
  <c r="D79" i="5"/>
  <c r="E79" i="5"/>
  <c r="D80" i="5"/>
  <c r="E80" i="5"/>
  <c r="D81" i="5"/>
  <c r="E81" i="5"/>
  <c r="D82" i="5"/>
  <c r="E82" i="5"/>
  <c r="D83" i="5"/>
  <c r="E83" i="5"/>
  <c r="D84" i="5"/>
  <c r="E84" i="5"/>
  <c r="D85" i="5"/>
  <c r="E85" i="5"/>
  <c r="D86" i="5"/>
  <c r="E86" i="5"/>
  <c r="D87" i="5"/>
  <c r="E87" i="5"/>
  <c r="D88" i="5"/>
  <c r="E88" i="5"/>
  <c r="D89" i="5"/>
  <c r="E89" i="5"/>
  <c r="D90" i="5"/>
  <c r="E90" i="5"/>
  <c r="D91" i="5"/>
  <c r="E91" i="5"/>
  <c r="D92" i="5"/>
  <c r="E92" i="5"/>
  <c r="D93" i="5"/>
  <c r="E93" i="5"/>
  <c r="D94" i="5"/>
  <c r="E94" i="5"/>
  <c r="D95" i="5"/>
  <c r="E95" i="5"/>
  <c r="D96" i="5"/>
  <c r="E96" i="5"/>
  <c r="D97" i="5"/>
  <c r="E97" i="5"/>
  <c r="D98" i="5"/>
  <c r="E98" i="5"/>
  <c r="D99" i="5"/>
  <c r="E99" i="5"/>
  <c r="D100" i="5"/>
  <c r="E100" i="5"/>
  <c r="D101" i="5"/>
  <c r="E101" i="5"/>
  <c r="D102" i="5"/>
  <c r="E102" i="5"/>
  <c r="D103" i="5"/>
  <c r="E103" i="5"/>
  <c r="D104" i="5"/>
  <c r="E104" i="5"/>
  <c r="D105" i="5"/>
  <c r="E105" i="5"/>
  <c r="D106" i="5"/>
  <c r="E106" i="5"/>
  <c r="D107" i="5"/>
  <c r="E107" i="5"/>
  <c r="D108" i="5"/>
  <c r="E108" i="5"/>
  <c r="D109" i="5"/>
  <c r="E109" i="5"/>
  <c r="D110" i="5"/>
  <c r="E110" i="5"/>
  <c r="D111" i="5"/>
  <c r="E111" i="5"/>
  <c r="D112" i="5"/>
  <c r="E112" i="5"/>
  <c r="D113" i="5"/>
  <c r="E113" i="5"/>
  <c r="D114" i="5"/>
  <c r="E114" i="5"/>
  <c r="D115" i="5"/>
  <c r="E115" i="5"/>
  <c r="D116" i="5"/>
  <c r="E116" i="5"/>
  <c r="D117" i="5"/>
  <c r="E117" i="5"/>
  <c r="D118" i="5"/>
  <c r="E118" i="5"/>
  <c r="D119" i="5"/>
  <c r="E119" i="5"/>
  <c r="D120" i="5"/>
  <c r="E120" i="5"/>
  <c r="D121" i="5"/>
  <c r="E121" i="5"/>
  <c r="E2" i="5"/>
  <c r="I2" i="5" s="1"/>
  <c r="D2" i="5"/>
  <c r="L4" i="3"/>
  <c r="L5" i="3" s="1"/>
  <c r="K4" i="3"/>
  <c r="K5" i="3" s="1"/>
  <c r="J4" i="3"/>
  <c r="J5" i="3" s="1"/>
  <c r="I4" i="3"/>
  <c r="I5" i="3" s="1"/>
  <c r="E8" i="3"/>
  <c r="E24" i="3"/>
  <c r="E32" i="3"/>
  <c r="E40" i="3"/>
  <c r="E48" i="3"/>
  <c r="E56" i="3"/>
  <c r="E64" i="3"/>
  <c r="E72" i="3"/>
  <c r="E80" i="3"/>
  <c r="E88" i="3"/>
  <c r="E96" i="3"/>
  <c r="E104" i="3"/>
  <c r="E112" i="3"/>
  <c r="E120" i="3"/>
  <c r="J2" i="3"/>
  <c r="K2" i="3"/>
  <c r="J3" i="3"/>
  <c r="K3" i="3"/>
  <c r="I3" i="3"/>
  <c r="I2" i="3"/>
  <c r="K6" i="3"/>
  <c r="J6" i="3"/>
  <c r="I6" i="3"/>
  <c r="E3" i="3" s="1"/>
  <c r="B17" i="1"/>
  <c r="F2" i="3"/>
  <c r="M4" i="3"/>
  <c r="M3" i="3"/>
  <c r="M5" i="3"/>
  <c r="M2" i="3"/>
  <c r="H2" i="5" l="1"/>
  <c r="E2" i="3"/>
  <c r="E114" i="3"/>
  <c r="E106" i="3"/>
  <c r="E98" i="3"/>
  <c r="E90" i="3"/>
  <c r="E82" i="3"/>
  <c r="E74" i="3"/>
  <c r="E66" i="3"/>
  <c r="E58" i="3"/>
  <c r="E50" i="3"/>
  <c r="E42" i="3"/>
  <c r="E34" i="3"/>
  <c r="E26" i="3"/>
  <c r="E18" i="3"/>
  <c r="E10" i="3"/>
  <c r="L6" i="3"/>
  <c r="E121" i="3"/>
  <c r="E113" i="3"/>
  <c r="E105" i="3"/>
  <c r="E97" i="3"/>
  <c r="E89" i="3"/>
  <c r="E81" i="3"/>
  <c r="E73" i="3"/>
  <c r="E65" i="3"/>
  <c r="E57" i="3"/>
  <c r="E49" i="3"/>
  <c r="E41" i="3"/>
  <c r="E33" i="3"/>
  <c r="E25" i="3"/>
  <c r="E17" i="3"/>
  <c r="E9" i="3"/>
  <c r="E119" i="3"/>
  <c r="E111" i="3"/>
  <c r="E103" i="3"/>
  <c r="E95" i="3"/>
  <c r="E87" i="3"/>
  <c r="E79" i="3"/>
  <c r="E71" i="3"/>
  <c r="E63" i="3"/>
  <c r="E55" i="3"/>
  <c r="E47" i="3"/>
  <c r="E39" i="3"/>
  <c r="E31" i="3"/>
  <c r="E23" i="3"/>
  <c r="E15" i="3"/>
  <c r="E7" i="3"/>
  <c r="E118" i="3"/>
  <c r="E110" i="3"/>
  <c r="E102" i="3"/>
  <c r="E94" i="3"/>
  <c r="E86" i="3"/>
  <c r="E78" i="3"/>
  <c r="E70" i="3"/>
  <c r="E62" i="3"/>
  <c r="E54" i="3"/>
  <c r="E46" i="3"/>
  <c r="E38" i="3"/>
  <c r="E30" i="3"/>
  <c r="E22" i="3"/>
  <c r="E14" i="3"/>
  <c r="E6" i="3"/>
  <c r="E16" i="3"/>
  <c r="E117" i="3"/>
  <c r="E109" i="3"/>
  <c r="E101" i="3"/>
  <c r="E93" i="3"/>
  <c r="E85" i="3"/>
  <c r="E77" i="3"/>
  <c r="E69" i="3"/>
  <c r="E61" i="3"/>
  <c r="E53" i="3"/>
  <c r="E45" i="3"/>
  <c r="E37" i="3"/>
  <c r="E29" i="3"/>
  <c r="E21" i="3"/>
  <c r="E13" i="3"/>
  <c r="E5" i="3"/>
  <c r="L3" i="3" s="1"/>
  <c r="E116" i="3"/>
  <c r="E108" i="3"/>
  <c r="E100" i="3"/>
  <c r="E92" i="3"/>
  <c r="E84" i="3"/>
  <c r="E76" i="3"/>
  <c r="E68" i="3"/>
  <c r="E60" i="3"/>
  <c r="E52" i="3"/>
  <c r="E44" i="3"/>
  <c r="E36" i="3"/>
  <c r="E28" i="3"/>
  <c r="E20" i="3"/>
  <c r="E12" i="3"/>
  <c r="E4" i="3"/>
  <c r="E115" i="3"/>
  <c r="E107" i="3"/>
  <c r="E99" i="3"/>
  <c r="E91" i="3"/>
  <c r="E83" i="3"/>
  <c r="E75" i="3"/>
  <c r="E67" i="3"/>
  <c r="E59" i="3"/>
  <c r="E51" i="3"/>
  <c r="E43" i="3"/>
  <c r="E35" i="3"/>
  <c r="E27" i="3"/>
  <c r="E19" i="3"/>
  <c r="E11" i="3"/>
  <c r="B14" i="1"/>
  <c r="B10" i="1"/>
  <c r="B7" i="1"/>
  <c r="C11" i="1"/>
  <c r="C17" i="1"/>
  <c r="C10" i="1"/>
  <c r="C7" i="1"/>
  <c r="C14" i="1"/>
  <c r="L2" i="3" l="1"/>
</calcChain>
</file>

<file path=xl/sharedStrings.xml><?xml version="1.0" encoding="utf-8"?>
<sst xmlns="http://schemas.openxmlformats.org/spreadsheetml/2006/main" count="70" uniqueCount="41">
  <si>
    <t>What is the portfolio's expected return?</t>
  </si>
  <si>
    <t>What is the portfolio's standard deviation?</t>
  </si>
  <si>
    <t>Covariance</t>
  </si>
  <si>
    <t>Standard Deviation</t>
  </si>
  <si>
    <t>Expected Return</t>
  </si>
  <si>
    <t>What is the Sharpe Ratio of the portfolio?</t>
  </si>
  <si>
    <t>Sharpe Ratio</t>
  </si>
  <si>
    <t>Google has an expected return of 10% and standard deviation of 15%. Apple has an expected return of 12% and standard deviation of 18%. Google and Apple's correlation is 0.80. You form a portfolio that is invested 40% in Google and 60% in Apple. The risk-free rate is 3%.</t>
  </si>
  <si>
    <t>Risk Premium</t>
  </si>
  <si>
    <t>What is the risk premium of the portfolio?</t>
  </si>
  <si>
    <t>Date</t>
  </si>
  <si>
    <t>Google</t>
  </si>
  <si>
    <t>Apple</t>
  </si>
  <si>
    <t>Microsoft</t>
  </si>
  <si>
    <t>Portfolio</t>
  </si>
  <si>
    <t>Weight</t>
  </si>
  <si>
    <t>Market</t>
  </si>
  <si>
    <t>Apple Excess Return</t>
  </si>
  <si>
    <t>Market Excess Return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</si>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</sst>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"/>
    <numFmt numFmtId="166" formatCode="mm/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0" fontId="0" fillId="2" borderId="0" xfId="1" applyNumberFormat="1" applyFont="1" applyFill="1"/>
    <xf numFmtId="165" fontId="0" fillId="0" borderId="0" xfId="0" applyNumberFormat="1"/>
    <xf numFmtId="2" fontId="0" fillId="2" borderId="0" xfId="1" applyNumberFormat="1" applyFont="1" applyFill="1"/>
    <xf numFmtId="9" fontId="0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0" fontId="2" fillId="0" borderId="0" xfId="1" applyNumberFormat="1" applyFont="1" applyAlignment="1">
      <alignment horizontal="center"/>
    </xf>
    <xf numFmtId="10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9" fontId="0" fillId="0" borderId="0" xfId="1" applyFont="1" applyAlignment="1">
      <alignment horizontal="left"/>
    </xf>
    <xf numFmtId="2" fontId="0" fillId="0" borderId="0" xfId="0" applyNumberFormat="1" applyAlignment="1">
      <alignment horizontal="center"/>
    </xf>
    <xf numFmtId="10" fontId="0" fillId="0" borderId="0" xfId="0" applyNumberFormat="1" applyAlignment="1">
      <alignment horizontal="left"/>
    </xf>
    <xf numFmtId="10" fontId="0" fillId="2" borderId="0" xfId="0" applyNumberFormat="1" applyFill="1" applyAlignment="1">
      <alignment horizontal="center"/>
    </xf>
    <xf numFmtId="10" fontId="0" fillId="2" borderId="0" xfId="1" applyNumberFormat="1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4" fillId="0" borderId="0" xfId="0" applyFont="1" applyAlignment="1">
      <alignment horizontal="center" wrapText="1"/>
    </xf>
    <xf numFmtId="164" fontId="2" fillId="0" borderId="0" xfId="1" applyNumberFormat="1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Continuous"/>
    </xf>
    <xf numFmtId="2" fontId="0" fillId="0" borderId="0" xfId="0" applyNumberFormat="1"/>
    <xf numFmtId="9" fontId="0" fillId="0" borderId="0" xfId="1" applyFont="1" applyFill="1" applyBorder="1" applyAlignment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3BEA-A648-42CE-BD68-3F1147AAC43B}">
  <dimension ref="A1:K17"/>
  <sheetViews>
    <sheetView workbookViewId="0">
      <selection activeCell="B11" sqref="B11"/>
    </sheetView>
  </sheetViews>
  <sheetFormatPr defaultRowHeight="14.25" x14ac:dyDescent="0.45"/>
  <cols>
    <col min="1" max="1" width="34.73046875" bestFit="1" customWidth="1"/>
    <col min="2" max="2" width="6.59765625" bestFit="1" customWidth="1"/>
    <col min="3" max="3" width="9.1328125" customWidth="1"/>
  </cols>
  <sheetData>
    <row r="1" spans="1:11" x14ac:dyDescent="0.45">
      <c r="A1" s="32" t="s">
        <v>7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x14ac:dyDescent="0.4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x14ac:dyDescent="0.4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</row>
    <row r="4" spans="1:11" x14ac:dyDescent="0.4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1" x14ac:dyDescent="0.45">
      <c r="B5" s="1"/>
      <c r="E5" s="2"/>
    </row>
    <row r="6" spans="1:11" x14ac:dyDescent="0.45">
      <c r="A6" t="s">
        <v>0</v>
      </c>
      <c r="E6" s="2"/>
    </row>
    <row r="7" spans="1:11" x14ac:dyDescent="0.45">
      <c r="A7" t="s">
        <v>4</v>
      </c>
      <c r="B7" s="5">
        <f>40%*10% + 60%*12%</f>
        <v>0.112</v>
      </c>
      <c r="C7" t="str">
        <f ca="1">_xlfn.FORMULATEXT(B7)</f>
        <v>=40%*10% + 60%*12%</v>
      </c>
    </row>
    <row r="9" spans="1:11" x14ac:dyDescent="0.45">
      <c r="A9" t="s">
        <v>1</v>
      </c>
    </row>
    <row r="10" spans="1:11" x14ac:dyDescent="0.45">
      <c r="A10" t="s">
        <v>2</v>
      </c>
      <c r="B10" s="6">
        <f>0.8*15%*18%</f>
        <v>2.1599999999999998E-2</v>
      </c>
      <c r="C10" t="str">
        <f ca="1">_xlfn.FORMULATEXT(B10)</f>
        <v>=0.8*15%*18%</v>
      </c>
    </row>
    <row r="11" spans="1:11" x14ac:dyDescent="0.45">
      <c r="A11" t="s">
        <v>3</v>
      </c>
      <c r="B11" s="5">
        <f>SQRT(40%^2*15%^2+60%^2*18%^2+2*40%*60%*B10)</f>
        <v>0.16009996876951599</v>
      </c>
      <c r="C11" t="str">
        <f ca="1">_xlfn.FORMULATEXT(B11)</f>
        <v>=SQRT(40%^2*15%^2+60%^2*18%^2+2*40%*60%*B10)</v>
      </c>
    </row>
    <row r="13" spans="1:11" x14ac:dyDescent="0.45">
      <c r="A13" t="s">
        <v>9</v>
      </c>
    </row>
    <row r="14" spans="1:11" x14ac:dyDescent="0.45">
      <c r="A14" t="s">
        <v>8</v>
      </c>
      <c r="B14" s="5">
        <f>B7-3%</f>
        <v>8.2000000000000003E-2</v>
      </c>
      <c r="C14" t="str">
        <f ca="1">_xlfn.FORMULATEXT(B14)</f>
        <v>=B7-3%</v>
      </c>
    </row>
    <row r="16" spans="1:11" x14ac:dyDescent="0.45">
      <c r="A16" t="s">
        <v>5</v>
      </c>
    </row>
    <row r="17" spans="1:3" x14ac:dyDescent="0.45">
      <c r="A17" t="s">
        <v>6</v>
      </c>
      <c r="B17" s="7">
        <f>B14/B11</f>
        <v>0.51217998748050542</v>
      </c>
      <c r="C17" t="str">
        <f ca="1">_xlfn.FORMULATEXT(B17)</f>
        <v>=B14/B11</v>
      </c>
    </row>
  </sheetData>
  <mergeCells count="1">
    <mergeCell ref="A1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95724-D3AA-43CC-9CCC-8EB9AD62A90D}">
  <dimension ref="A1:M121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4.25" x14ac:dyDescent="0.45"/>
  <cols>
    <col min="1" max="4" width="9.06640625" style="3"/>
    <col min="5" max="5" width="9.06640625" style="13"/>
    <col min="6" max="6" width="27.9296875" style="13" bestFit="1" customWidth="1"/>
    <col min="8" max="8" width="15.86328125" bestFit="1" customWidth="1"/>
    <col min="9" max="12" width="9.1328125" customWidth="1"/>
    <col min="13" max="13" width="16.86328125" bestFit="1" customWidth="1"/>
  </cols>
  <sheetData>
    <row r="1" spans="1:13" x14ac:dyDescent="0.45">
      <c r="A1" s="9" t="s">
        <v>10</v>
      </c>
      <c r="B1" s="11" t="s">
        <v>12</v>
      </c>
      <c r="C1" s="11" t="s">
        <v>11</v>
      </c>
      <c r="D1" s="11" t="s">
        <v>13</v>
      </c>
      <c r="E1" s="12" t="s">
        <v>14</v>
      </c>
      <c r="F1" s="12"/>
      <c r="I1" s="11" t="s">
        <v>12</v>
      </c>
      <c r="J1" s="11" t="s">
        <v>11</v>
      </c>
      <c r="K1" s="11" t="s">
        <v>13</v>
      </c>
      <c r="L1" s="11" t="s">
        <v>14</v>
      </c>
      <c r="M1" s="11"/>
    </row>
    <row r="2" spans="1:13" x14ac:dyDescent="0.45">
      <c r="A2" s="10">
        <v>39113</v>
      </c>
      <c r="B2" s="8">
        <v>1.0489999999999999E-2</v>
      </c>
      <c r="C2" s="8">
        <v>8.9080999999999994E-2</v>
      </c>
      <c r="D2" s="8">
        <v>3.3489999999999999E-2</v>
      </c>
      <c r="E2" s="8">
        <f>SUMPRODUCT(B2:D2,$I$6:$K$6)</f>
        <v>4.4353666666666659E-2</v>
      </c>
      <c r="F2" s="15" t="str">
        <f ca="1">_xlfn.FORMULATEXT(E2)</f>
        <v>=SUMPRODUCT(B2:D2,$I$6:$K$6)</v>
      </c>
      <c r="H2" t="s">
        <v>4</v>
      </c>
      <c r="I2" s="4">
        <f>AVERAGE(B2:B121)</f>
        <v>2.4107308333333331E-2</v>
      </c>
      <c r="J2" s="4">
        <f t="shared" ref="J2:L2" si="0">AVERAGE(C2:C121)</f>
        <v>1.3761941666666671E-2</v>
      </c>
      <c r="K2" s="4">
        <f t="shared" si="0"/>
        <v>1.069908333333334E-2</v>
      </c>
      <c r="L2" s="18">
        <f t="shared" si="0"/>
        <v>1.6189444444444444E-2</v>
      </c>
      <c r="M2" s="17" t="str">
        <f ca="1">_xlfn.FORMULATEXT(L2)</f>
        <v>=AVERAGE(E2:E121)</v>
      </c>
    </row>
    <row r="3" spans="1:13" x14ac:dyDescent="0.45">
      <c r="A3" s="10">
        <v>39141</v>
      </c>
      <c r="B3" s="8">
        <v>-1.3063999999999999E-2</v>
      </c>
      <c r="C3" s="8">
        <v>-0.10378900000000001</v>
      </c>
      <c r="D3" s="8">
        <v>-8.3927000000000002E-2</v>
      </c>
      <c r="E3" s="8">
        <f t="shared" ref="E3:E66" si="1">SUMPRODUCT(B3:D3,$I$6:$K$6)</f>
        <v>-6.6926666666666662E-2</v>
      </c>
      <c r="F3" s="8"/>
      <c r="H3" t="s">
        <v>3</v>
      </c>
      <c r="I3" s="13">
        <f>_xlfn.STDEV.S(B2:B121)</f>
        <v>9.1892858259620028E-2</v>
      </c>
      <c r="J3" s="13">
        <f t="shared" ref="J3:L3" si="2">_xlfn.STDEV.S(C2:C121)</f>
        <v>8.4118749380959867E-2</v>
      </c>
      <c r="K3" s="13">
        <f t="shared" si="2"/>
        <v>7.2193544040906291E-2</v>
      </c>
      <c r="L3" s="19">
        <f t="shared" si="2"/>
        <v>6.8472781069992092E-2</v>
      </c>
      <c r="M3" s="17" t="str">
        <f t="shared" ref="M3:M5" ca="1" si="3">_xlfn.FORMULATEXT(L3)</f>
        <v>=STDEV.S(E2:E121)</v>
      </c>
    </row>
    <row r="4" spans="1:13" x14ac:dyDescent="0.45">
      <c r="A4" s="10">
        <v>39171</v>
      </c>
      <c r="B4" s="8">
        <v>9.8097000000000004E-2</v>
      </c>
      <c r="C4" s="8">
        <v>1.9379E-2</v>
      </c>
      <c r="D4" s="8">
        <v>-1.065E-2</v>
      </c>
      <c r="E4" s="8">
        <f t="shared" si="1"/>
        <v>3.560866666666667E-2</v>
      </c>
      <c r="F4" s="8"/>
      <c r="H4" t="s">
        <v>8</v>
      </c>
      <c r="I4" s="4">
        <f>(I2-0.5%)</f>
        <v>1.910730833333333E-2</v>
      </c>
      <c r="J4" s="4">
        <f t="shared" ref="J4:L4" si="4">(J2-0.5%)</f>
        <v>8.761941666666672E-3</v>
      </c>
      <c r="K4" s="4">
        <f t="shared" si="4"/>
        <v>5.6990833333333398E-3</v>
      </c>
      <c r="L4" s="18">
        <f t="shared" si="4"/>
        <v>1.1189444444444443E-2</v>
      </c>
      <c r="M4" s="17" t="str">
        <f t="shared" ca="1" si="3"/>
        <v>=(L2-0.5%)</v>
      </c>
    </row>
    <row r="5" spans="1:13" x14ac:dyDescent="0.45">
      <c r="A5" s="10">
        <v>39202</v>
      </c>
      <c r="B5" s="8">
        <v>7.4158000000000002E-2</v>
      </c>
      <c r="C5" s="8">
        <v>2.8854999999999999E-2</v>
      </c>
      <c r="D5" s="8">
        <v>7.4273000000000006E-2</v>
      </c>
      <c r="E5" s="8">
        <f t="shared" si="1"/>
        <v>5.9095333333333333E-2</v>
      </c>
      <c r="F5" s="8"/>
      <c r="H5" t="s">
        <v>6</v>
      </c>
      <c r="I5" s="16">
        <f>I4/I3</f>
        <v>0.20793028637057367</v>
      </c>
      <c r="J5" s="16">
        <f t="shared" ref="J5:L5" si="5">J4/J3</f>
        <v>0.10416157790203574</v>
      </c>
      <c r="K5" s="16">
        <f t="shared" si="5"/>
        <v>7.8941730996114096E-2</v>
      </c>
      <c r="L5" s="20">
        <f t="shared" si="5"/>
        <v>0.16341448776568196</v>
      </c>
      <c r="M5" s="17" t="str">
        <f t="shared" ca="1" si="3"/>
        <v>=L4/L3</v>
      </c>
    </row>
    <row r="6" spans="1:13" x14ac:dyDescent="0.45">
      <c r="A6" s="10">
        <v>39233</v>
      </c>
      <c r="B6" s="8">
        <v>0.214339</v>
      </c>
      <c r="C6" s="8">
        <v>5.6279000000000003E-2</v>
      </c>
      <c r="D6" s="8">
        <v>2.8393000000000002E-2</v>
      </c>
      <c r="E6" s="8">
        <f t="shared" si="1"/>
        <v>9.9670333333333347E-2</v>
      </c>
      <c r="F6" s="8"/>
      <c r="H6" t="s">
        <v>15</v>
      </c>
      <c r="I6" s="8">
        <f>1/3</f>
        <v>0.33333333333333331</v>
      </c>
      <c r="J6" s="8">
        <f t="shared" ref="J6:K6" si="6">1/3</f>
        <v>0.33333333333333331</v>
      </c>
      <c r="K6" s="8">
        <f t="shared" si="6"/>
        <v>0.33333333333333331</v>
      </c>
      <c r="L6" s="8">
        <f>SUM(I6:K6)</f>
        <v>1</v>
      </c>
      <c r="M6" s="3"/>
    </row>
    <row r="7" spans="1:13" x14ac:dyDescent="0.45">
      <c r="A7" s="10">
        <v>39262</v>
      </c>
      <c r="B7" s="8">
        <v>7.0049999999999999E-3</v>
      </c>
      <c r="C7" s="8">
        <v>4.9790000000000001E-2</v>
      </c>
      <c r="D7" s="8">
        <v>-3.9756E-2</v>
      </c>
      <c r="E7" s="8">
        <f t="shared" si="1"/>
        <v>5.6796666666666662E-3</v>
      </c>
      <c r="F7" s="8"/>
    </row>
    <row r="8" spans="1:13" x14ac:dyDescent="0.45">
      <c r="A8" s="10">
        <v>39294</v>
      </c>
      <c r="B8" s="8">
        <v>7.9645999999999995E-2</v>
      </c>
      <c r="C8" s="8">
        <v>-2.4296999999999999E-2</v>
      </c>
      <c r="D8" s="8">
        <v>-1.6288E-2</v>
      </c>
      <c r="E8" s="8">
        <f t="shared" si="1"/>
        <v>1.3020333333333333E-2</v>
      </c>
      <c r="F8" s="8"/>
    </row>
    <row r="9" spans="1:13" x14ac:dyDescent="0.45">
      <c r="A9" s="10">
        <v>39325</v>
      </c>
      <c r="B9" s="8">
        <v>5.1001999999999999E-2</v>
      </c>
      <c r="C9" s="8">
        <v>1.0293999999999999E-2</v>
      </c>
      <c r="D9" s="8">
        <v>-5.5189999999999996E-3</v>
      </c>
      <c r="E9" s="8">
        <f t="shared" si="1"/>
        <v>1.8592333333333332E-2</v>
      </c>
      <c r="F9" s="8"/>
    </row>
    <row r="10" spans="1:13" x14ac:dyDescent="0.45">
      <c r="A10" s="10">
        <v>39353</v>
      </c>
      <c r="B10" s="8">
        <v>0.108247</v>
      </c>
      <c r="C10" s="8">
        <v>0.100961</v>
      </c>
      <c r="D10" s="8">
        <v>2.5409000000000001E-2</v>
      </c>
      <c r="E10" s="8">
        <f t="shared" si="1"/>
        <v>7.8205666666666659E-2</v>
      </c>
      <c r="F10" s="8"/>
    </row>
    <row r="11" spans="1:13" x14ac:dyDescent="0.45">
      <c r="A11" s="10">
        <v>39386</v>
      </c>
      <c r="B11" s="8">
        <v>0.237701</v>
      </c>
      <c r="C11" s="8">
        <v>0.24632000000000001</v>
      </c>
      <c r="D11" s="8">
        <v>0.24949099999999999</v>
      </c>
      <c r="E11" s="8">
        <f t="shared" si="1"/>
        <v>0.24450399999999997</v>
      </c>
      <c r="F11" s="8"/>
    </row>
    <row r="12" spans="1:13" x14ac:dyDescent="0.45">
      <c r="A12" s="10">
        <v>39416</v>
      </c>
      <c r="B12" s="8">
        <v>-4.0695000000000002E-2</v>
      </c>
      <c r="C12" s="8">
        <v>-1.9802E-2</v>
      </c>
      <c r="D12" s="8">
        <v>-8.4215999999999999E-2</v>
      </c>
      <c r="E12" s="8">
        <f t="shared" si="1"/>
        <v>-4.8237666666666665E-2</v>
      </c>
      <c r="F12" s="8"/>
    </row>
    <row r="13" spans="1:13" x14ac:dyDescent="0.45">
      <c r="A13" s="10">
        <v>39447</v>
      </c>
      <c r="B13" s="8">
        <v>8.7038000000000004E-2</v>
      </c>
      <c r="C13" s="8">
        <v>-2.1930000000000001E-3</v>
      </c>
      <c r="D13" s="8">
        <v>5.9524000000000001E-2</v>
      </c>
      <c r="E13" s="8">
        <f t="shared" si="1"/>
        <v>4.8122999999999999E-2</v>
      </c>
      <c r="F13" s="8"/>
    </row>
    <row r="14" spans="1:13" x14ac:dyDescent="0.45">
      <c r="A14" s="10">
        <v>39478</v>
      </c>
      <c r="B14" s="8">
        <v>-0.31663999999999998</v>
      </c>
      <c r="C14" s="8">
        <v>-0.183924</v>
      </c>
      <c r="D14" s="8">
        <v>-8.4269999999999998E-2</v>
      </c>
      <c r="E14" s="8">
        <f t="shared" si="1"/>
        <v>-0.19494466666666665</v>
      </c>
      <c r="F14" s="8"/>
    </row>
    <row r="15" spans="1:13" x14ac:dyDescent="0.45">
      <c r="A15" s="10">
        <v>39507</v>
      </c>
      <c r="B15" s="8">
        <v>-7.6388999999999999E-2</v>
      </c>
      <c r="C15" s="8">
        <v>-0.165019</v>
      </c>
      <c r="D15" s="8">
        <v>-0.162273</v>
      </c>
      <c r="E15" s="8">
        <f t="shared" si="1"/>
        <v>-0.13456033333333334</v>
      </c>
      <c r="F15" s="8"/>
    </row>
    <row r="16" spans="1:13" x14ac:dyDescent="0.45">
      <c r="A16" s="10">
        <v>39538</v>
      </c>
      <c r="B16" s="8">
        <v>0.147816</v>
      </c>
      <c r="C16" s="8">
        <v>-6.5176999999999999E-2</v>
      </c>
      <c r="D16" s="8">
        <v>4.3386000000000001E-2</v>
      </c>
      <c r="E16" s="8">
        <f t="shared" si="1"/>
        <v>4.2008333333333328E-2</v>
      </c>
      <c r="F16" s="8"/>
    </row>
    <row r="17" spans="1:6" x14ac:dyDescent="0.45">
      <c r="A17" s="10">
        <v>39568</v>
      </c>
      <c r="B17" s="8">
        <v>0.21219499999999999</v>
      </c>
      <c r="C17" s="8">
        <v>0.30381200000000003</v>
      </c>
      <c r="D17" s="8">
        <v>4.9329999999999999E-3</v>
      </c>
      <c r="E17" s="8">
        <f t="shared" si="1"/>
        <v>0.17364666666666667</v>
      </c>
      <c r="F17" s="8"/>
    </row>
    <row r="18" spans="1:6" x14ac:dyDescent="0.45">
      <c r="A18" s="10">
        <v>39598</v>
      </c>
      <c r="B18" s="8">
        <v>8.5082000000000005E-2</v>
      </c>
      <c r="C18" s="8">
        <v>2.0042000000000001E-2</v>
      </c>
      <c r="D18" s="8">
        <v>-3.156E-3</v>
      </c>
      <c r="E18" s="8">
        <f t="shared" si="1"/>
        <v>3.3989333333333337E-2</v>
      </c>
      <c r="F18" s="8"/>
    </row>
    <row r="19" spans="1:6" x14ac:dyDescent="0.45">
      <c r="A19" s="10">
        <v>39629</v>
      </c>
      <c r="B19" s="8">
        <v>-0.112901</v>
      </c>
      <c r="C19" s="8">
        <v>-0.101366</v>
      </c>
      <c r="D19" s="8">
        <v>-2.8601999999999999E-2</v>
      </c>
      <c r="E19" s="8">
        <f t="shared" si="1"/>
        <v>-8.0956333333333325E-2</v>
      </c>
      <c r="F19" s="8"/>
    </row>
    <row r="20" spans="1:6" x14ac:dyDescent="0.45">
      <c r="A20" s="10">
        <v>39660</v>
      </c>
      <c r="B20" s="8">
        <v>-5.0705E-2</v>
      </c>
      <c r="C20" s="8">
        <v>-0.100053</v>
      </c>
      <c r="D20" s="8">
        <v>-6.5067E-2</v>
      </c>
      <c r="E20" s="8">
        <f t="shared" si="1"/>
        <v>-7.1941666666666668E-2</v>
      </c>
      <c r="F20" s="8"/>
    </row>
    <row r="21" spans="1:6" x14ac:dyDescent="0.45">
      <c r="A21" s="10">
        <v>39689</v>
      </c>
      <c r="B21" s="8">
        <v>6.6561999999999996E-2</v>
      </c>
      <c r="C21" s="8">
        <v>-2.2079000000000001E-2</v>
      </c>
      <c r="D21" s="8">
        <v>6.5319000000000002E-2</v>
      </c>
      <c r="E21" s="8">
        <f t="shared" si="1"/>
        <v>3.6600666666666663E-2</v>
      </c>
      <c r="F21" s="8"/>
    </row>
    <row r="22" spans="1:6" x14ac:dyDescent="0.45">
      <c r="A22" s="10">
        <v>39721</v>
      </c>
      <c r="B22" s="8">
        <v>-0.32955800000000002</v>
      </c>
      <c r="C22" s="8">
        <v>-0.135488</v>
      </c>
      <c r="D22" s="8">
        <v>-2.1985999999999999E-2</v>
      </c>
      <c r="E22" s="8">
        <f t="shared" si="1"/>
        <v>-0.16234400000000002</v>
      </c>
      <c r="F22" s="8"/>
    </row>
    <row r="23" spans="1:6" x14ac:dyDescent="0.45">
      <c r="A23" s="10">
        <v>39752</v>
      </c>
      <c r="B23" s="8">
        <v>-5.3405000000000001E-2</v>
      </c>
      <c r="C23" s="8">
        <v>-0.102766</v>
      </c>
      <c r="D23" s="8">
        <v>-0.163357</v>
      </c>
      <c r="E23" s="8">
        <f t="shared" si="1"/>
        <v>-0.10650933333333333</v>
      </c>
      <c r="F23" s="8"/>
    </row>
    <row r="24" spans="1:6" x14ac:dyDescent="0.45">
      <c r="A24" s="10">
        <v>39780</v>
      </c>
      <c r="B24" s="8">
        <v>-0.13867499999999999</v>
      </c>
      <c r="C24" s="8">
        <v>-0.18477299999999999</v>
      </c>
      <c r="D24" s="8">
        <v>-8.8669999999999999E-2</v>
      </c>
      <c r="E24" s="8">
        <f t="shared" si="1"/>
        <v>-0.13737266666666667</v>
      </c>
      <c r="F24" s="8"/>
    </row>
    <row r="25" spans="1:6" x14ac:dyDescent="0.45">
      <c r="A25" s="10">
        <v>39813</v>
      </c>
      <c r="B25" s="8">
        <v>-7.8990000000000005E-2</v>
      </c>
      <c r="C25" s="8">
        <v>5.0143E-2</v>
      </c>
      <c r="D25" s="8">
        <v>-3.8575999999999999E-2</v>
      </c>
      <c r="E25" s="8">
        <f t="shared" si="1"/>
        <v>-2.2474333333333332E-2</v>
      </c>
      <c r="F25" s="8"/>
    </row>
    <row r="26" spans="1:6" x14ac:dyDescent="0.45">
      <c r="A26" s="10">
        <v>39843</v>
      </c>
      <c r="B26" s="8">
        <v>5.6004999999999999E-2</v>
      </c>
      <c r="C26" s="8">
        <v>0.100374</v>
      </c>
      <c r="D26" s="8">
        <v>-0.12037</v>
      </c>
      <c r="E26" s="8">
        <f t="shared" si="1"/>
        <v>1.2003E-2</v>
      </c>
      <c r="F26" s="8"/>
    </row>
    <row r="27" spans="1:6" x14ac:dyDescent="0.45">
      <c r="A27" s="10">
        <v>39871</v>
      </c>
      <c r="B27" s="8">
        <v>-9.0980000000000002E-3</v>
      </c>
      <c r="C27" s="8">
        <v>-1.5950000000000001E-3</v>
      </c>
      <c r="D27" s="8">
        <v>-4.7953000000000003E-2</v>
      </c>
      <c r="E27" s="8">
        <f t="shared" si="1"/>
        <v>-1.9548666666666666E-2</v>
      </c>
      <c r="F27" s="8"/>
    </row>
    <row r="28" spans="1:6" x14ac:dyDescent="0.45">
      <c r="A28" s="10">
        <v>39903</v>
      </c>
      <c r="B28" s="8">
        <v>0.17702399999999999</v>
      </c>
      <c r="C28" s="8">
        <v>2.9794000000000001E-2</v>
      </c>
      <c r="D28" s="8">
        <v>0.137461</v>
      </c>
      <c r="E28" s="8">
        <f t="shared" si="1"/>
        <v>0.11475966666666665</v>
      </c>
      <c r="F28" s="8"/>
    </row>
    <row r="29" spans="1:6" x14ac:dyDescent="0.45">
      <c r="A29" s="10">
        <v>39933</v>
      </c>
      <c r="B29" s="8">
        <v>0.19701299999999999</v>
      </c>
      <c r="C29" s="8">
        <v>0.13764899999999999</v>
      </c>
      <c r="D29" s="8">
        <v>0.102885</v>
      </c>
      <c r="E29" s="8">
        <f t="shared" si="1"/>
        <v>0.14584899999999998</v>
      </c>
      <c r="F29" s="8"/>
    </row>
    <row r="30" spans="1:6" x14ac:dyDescent="0.45">
      <c r="A30" s="10">
        <v>39962</v>
      </c>
      <c r="B30" s="8">
        <v>7.9312999999999995E-2</v>
      </c>
      <c r="C30" s="8">
        <v>5.3691000000000003E-2</v>
      </c>
      <c r="D30" s="8">
        <v>3.7511999999999997E-2</v>
      </c>
      <c r="E30" s="8">
        <f t="shared" si="1"/>
        <v>5.6838666666666662E-2</v>
      </c>
      <c r="F30" s="8"/>
    </row>
    <row r="31" spans="1:6" x14ac:dyDescent="0.45">
      <c r="A31" s="10">
        <v>39994</v>
      </c>
      <c r="B31" s="8">
        <v>4.8744999999999997E-2</v>
      </c>
      <c r="C31" s="8">
        <v>1.0449999999999999E-2</v>
      </c>
      <c r="D31" s="8">
        <v>0.13786499999999999</v>
      </c>
      <c r="E31" s="8">
        <f t="shared" si="1"/>
        <v>6.5686666666666657E-2</v>
      </c>
      <c r="F31" s="8"/>
    </row>
    <row r="32" spans="1:6" x14ac:dyDescent="0.45">
      <c r="A32" s="10">
        <v>40025</v>
      </c>
      <c r="B32" s="8">
        <v>0.14716000000000001</v>
      </c>
      <c r="C32" s="8">
        <v>5.0902999999999997E-2</v>
      </c>
      <c r="D32" s="8">
        <v>-1.0517E-2</v>
      </c>
      <c r="E32" s="8">
        <f t="shared" si="1"/>
        <v>6.2515333333333326E-2</v>
      </c>
      <c r="F32" s="8"/>
    </row>
    <row r="33" spans="1:6" x14ac:dyDescent="0.45">
      <c r="A33" s="10">
        <v>40056</v>
      </c>
      <c r="B33" s="8">
        <v>2.9499999999999998E-2</v>
      </c>
      <c r="C33" s="8">
        <v>4.2027000000000002E-2</v>
      </c>
      <c r="D33" s="8">
        <v>5.3571000000000001E-2</v>
      </c>
      <c r="E33" s="8">
        <f t="shared" si="1"/>
        <v>4.1699333333333331E-2</v>
      </c>
      <c r="F33" s="8"/>
    </row>
    <row r="34" spans="1:6" x14ac:dyDescent="0.45">
      <c r="A34" s="10">
        <v>40086</v>
      </c>
      <c r="B34" s="8">
        <v>0.101896</v>
      </c>
      <c r="C34" s="8">
        <v>7.4036000000000005E-2</v>
      </c>
      <c r="D34" s="8">
        <v>4.3408000000000002E-2</v>
      </c>
      <c r="E34" s="8">
        <f t="shared" si="1"/>
        <v>7.3113333333333336E-2</v>
      </c>
      <c r="F34" s="8"/>
    </row>
    <row r="35" spans="1:6" x14ac:dyDescent="0.45">
      <c r="A35" s="10">
        <v>40116</v>
      </c>
      <c r="B35" s="8">
        <v>1.6995E-2</v>
      </c>
      <c r="C35" s="8">
        <v>8.1213999999999995E-2</v>
      </c>
      <c r="D35" s="8">
        <v>7.8148999999999996E-2</v>
      </c>
      <c r="E35" s="8">
        <f t="shared" si="1"/>
        <v>5.8785999999999991E-2</v>
      </c>
      <c r="F35" s="8"/>
    </row>
    <row r="36" spans="1:6" x14ac:dyDescent="0.45">
      <c r="A36" s="10">
        <v>40147</v>
      </c>
      <c r="B36" s="8">
        <v>6.0531000000000001E-2</v>
      </c>
      <c r="C36" s="8">
        <v>8.7443000000000007E-2</v>
      </c>
      <c r="D36" s="8">
        <v>6.5271999999999997E-2</v>
      </c>
      <c r="E36" s="8">
        <f t="shared" si="1"/>
        <v>7.1082000000000006E-2</v>
      </c>
      <c r="F36" s="8"/>
    </row>
    <row r="37" spans="1:6" x14ac:dyDescent="0.45">
      <c r="A37" s="10">
        <v>40178</v>
      </c>
      <c r="B37" s="8">
        <v>5.4134000000000002E-2</v>
      </c>
      <c r="C37" s="8">
        <v>6.343E-2</v>
      </c>
      <c r="D37" s="8">
        <v>3.6381999999999998E-2</v>
      </c>
      <c r="E37" s="8">
        <f t="shared" si="1"/>
        <v>5.1315333333333331E-2</v>
      </c>
      <c r="F37" s="8"/>
    </row>
    <row r="38" spans="1:6" x14ac:dyDescent="0.45">
      <c r="A38" s="10">
        <v>40207</v>
      </c>
      <c r="B38" s="8">
        <v>-8.8591000000000003E-2</v>
      </c>
      <c r="C38" s="8">
        <v>-0.14522399999999999</v>
      </c>
      <c r="D38" s="8">
        <v>-7.5458999999999998E-2</v>
      </c>
      <c r="E38" s="8">
        <f t="shared" si="1"/>
        <v>-0.10309133333333333</v>
      </c>
      <c r="F38" s="8"/>
    </row>
    <row r="39" spans="1:6" x14ac:dyDescent="0.45">
      <c r="A39" s="10">
        <v>40235</v>
      </c>
      <c r="B39" s="8">
        <v>6.5379999999999994E-2</v>
      </c>
      <c r="C39" s="8">
        <v>-5.9329999999999999E-3</v>
      </c>
      <c r="D39" s="8">
        <v>2.2001E-2</v>
      </c>
      <c r="E39" s="8">
        <f t="shared" si="1"/>
        <v>2.7149333333333331E-2</v>
      </c>
      <c r="F39" s="8"/>
    </row>
    <row r="40" spans="1:6" x14ac:dyDescent="0.45">
      <c r="A40" s="10">
        <v>40268</v>
      </c>
      <c r="B40" s="8">
        <v>0.14846999999999999</v>
      </c>
      <c r="C40" s="8">
        <v>7.6537999999999995E-2</v>
      </c>
      <c r="D40" s="8">
        <v>2.1538000000000002E-2</v>
      </c>
      <c r="E40" s="8">
        <f t="shared" si="1"/>
        <v>8.2181999999999991E-2</v>
      </c>
      <c r="F40" s="8"/>
    </row>
    <row r="41" spans="1:6" x14ac:dyDescent="0.45">
      <c r="A41" s="10">
        <v>40298</v>
      </c>
      <c r="B41" s="8">
        <v>0.11102099999999999</v>
      </c>
      <c r="C41" s="8">
        <v>-7.3043999999999998E-2</v>
      </c>
      <c r="D41" s="8">
        <v>4.2595000000000001E-2</v>
      </c>
      <c r="E41" s="8">
        <f t="shared" si="1"/>
        <v>2.6857333333333334E-2</v>
      </c>
      <c r="F41" s="8"/>
    </row>
    <row r="42" spans="1:6" x14ac:dyDescent="0.45">
      <c r="A42" s="10">
        <v>40326</v>
      </c>
      <c r="B42" s="8">
        <v>-1.6125E-2</v>
      </c>
      <c r="C42" s="8">
        <v>-7.6213000000000003E-2</v>
      </c>
      <c r="D42" s="8">
        <v>-0.150811</v>
      </c>
      <c r="E42" s="8">
        <f t="shared" si="1"/>
        <v>-8.1049666666666659E-2</v>
      </c>
      <c r="F42" s="8"/>
    </row>
    <row r="43" spans="1:6" x14ac:dyDescent="0.45">
      <c r="A43" s="10">
        <v>40359</v>
      </c>
      <c r="B43" s="8">
        <v>-2.0826999999999998E-2</v>
      </c>
      <c r="C43" s="8">
        <v>-8.3766999999999994E-2</v>
      </c>
      <c r="D43" s="8">
        <v>-0.10814</v>
      </c>
      <c r="E43" s="8">
        <f t="shared" si="1"/>
        <v>-7.0911333333333326E-2</v>
      </c>
      <c r="F43" s="8"/>
    </row>
    <row r="44" spans="1:6" x14ac:dyDescent="0.45">
      <c r="A44" s="10">
        <v>40389</v>
      </c>
      <c r="B44" s="8">
        <v>2.2741000000000001E-2</v>
      </c>
      <c r="C44" s="8">
        <v>8.9673000000000003E-2</v>
      </c>
      <c r="D44" s="8">
        <v>0.121686</v>
      </c>
      <c r="E44" s="8">
        <f t="shared" si="1"/>
        <v>7.8033333333333343E-2</v>
      </c>
      <c r="F44" s="8"/>
    </row>
    <row r="45" spans="1:6" x14ac:dyDescent="0.45">
      <c r="A45" s="10">
        <v>40421</v>
      </c>
      <c r="B45" s="8">
        <v>-5.5004999999999998E-2</v>
      </c>
      <c r="C45" s="8">
        <v>-7.1836999999999998E-2</v>
      </c>
      <c r="D45" s="8">
        <v>-8.5819000000000006E-2</v>
      </c>
      <c r="E45" s="8">
        <f t="shared" si="1"/>
        <v>-7.0886999999999992E-2</v>
      </c>
      <c r="F45" s="8"/>
    </row>
    <row r="46" spans="1:6" x14ac:dyDescent="0.45">
      <c r="A46" s="10">
        <v>40451</v>
      </c>
      <c r="B46" s="8">
        <v>0.167215</v>
      </c>
      <c r="C46" s="8">
        <v>0.16836999999999999</v>
      </c>
      <c r="D46" s="8">
        <v>4.3681999999999999E-2</v>
      </c>
      <c r="E46" s="8">
        <f t="shared" si="1"/>
        <v>0.12642233333333333</v>
      </c>
      <c r="F46" s="8"/>
    </row>
    <row r="47" spans="1:6" x14ac:dyDescent="0.45">
      <c r="A47" s="10">
        <v>40480</v>
      </c>
      <c r="B47" s="8">
        <v>6.0722999999999999E-2</v>
      </c>
      <c r="C47" s="8">
        <v>0.16719600000000001</v>
      </c>
      <c r="D47" s="8">
        <v>8.8812000000000002E-2</v>
      </c>
      <c r="E47" s="8">
        <f t="shared" si="1"/>
        <v>0.105577</v>
      </c>
      <c r="F47" s="8"/>
    </row>
    <row r="48" spans="1:6" x14ac:dyDescent="0.45">
      <c r="A48" s="10">
        <v>40512</v>
      </c>
      <c r="B48" s="8">
        <v>3.3790000000000001E-2</v>
      </c>
      <c r="C48" s="8">
        <v>-9.4492000000000007E-2</v>
      </c>
      <c r="D48" s="8">
        <v>-4.6783999999999999E-2</v>
      </c>
      <c r="E48" s="8">
        <f t="shared" si="1"/>
        <v>-3.5828666666666668E-2</v>
      </c>
      <c r="F48" s="8"/>
    </row>
    <row r="49" spans="1:6" x14ac:dyDescent="0.45">
      <c r="A49" s="10">
        <v>40543</v>
      </c>
      <c r="B49" s="8">
        <v>3.6670000000000001E-2</v>
      </c>
      <c r="C49" s="8">
        <v>6.8848999999999994E-2</v>
      </c>
      <c r="D49" s="8">
        <v>0.105018</v>
      </c>
      <c r="E49" s="8">
        <f t="shared" si="1"/>
        <v>7.0178999999999991E-2</v>
      </c>
      <c r="F49" s="8"/>
    </row>
    <row r="50" spans="1:6" x14ac:dyDescent="0.45">
      <c r="A50" s="10">
        <v>40574</v>
      </c>
      <c r="B50" s="8">
        <v>5.1958999999999998E-2</v>
      </c>
      <c r="C50" s="8">
        <v>1.0758E-2</v>
      </c>
      <c r="D50" s="8">
        <v>-6.6280000000000002E-3</v>
      </c>
      <c r="E50" s="8">
        <f t="shared" si="1"/>
        <v>1.8696333333333329E-2</v>
      </c>
      <c r="F50" s="8"/>
    </row>
    <row r="51" spans="1:6" x14ac:dyDescent="0.45">
      <c r="A51" s="10">
        <v>40602</v>
      </c>
      <c r="B51" s="8">
        <v>4.0934999999999999E-2</v>
      </c>
      <c r="C51" s="8">
        <v>2.172E-2</v>
      </c>
      <c r="D51" s="8">
        <v>-3.5527999999999997E-2</v>
      </c>
      <c r="E51" s="8">
        <f t="shared" si="1"/>
        <v>9.0423333333333362E-3</v>
      </c>
      <c r="F51" s="8"/>
    </row>
    <row r="52" spans="1:6" x14ac:dyDescent="0.45">
      <c r="A52" s="10">
        <v>40633</v>
      </c>
      <c r="B52" s="8">
        <v>-1.3313999999999999E-2</v>
      </c>
      <c r="C52" s="8">
        <v>-4.3430000000000003E-2</v>
      </c>
      <c r="D52" s="8">
        <v>-4.4770999999999998E-2</v>
      </c>
      <c r="E52" s="8">
        <f t="shared" si="1"/>
        <v>-3.3838333333333331E-2</v>
      </c>
      <c r="F52" s="8"/>
    </row>
    <row r="53" spans="1:6" x14ac:dyDescent="0.45">
      <c r="A53" s="10">
        <v>40662</v>
      </c>
      <c r="B53" s="8">
        <v>4.6560000000000004E-3</v>
      </c>
      <c r="C53" s="8">
        <v>-7.2704000000000005E-2</v>
      </c>
      <c r="D53" s="8">
        <v>2.0874E-2</v>
      </c>
      <c r="E53" s="8">
        <f t="shared" si="1"/>
        <v>-1.5724666666666668E-2</v>
      </c>
      <c r="F53" s="8"/>
    </row>
    <row r="54" spans="1:6" x14ac:dyDescent="0.45">
      <c r="A54" s="10">
        <v>40694</v>
      </c>
      <c r="B54" s="8">
        <v>-6.5690000000000002E-3</v>
      </c>
      <c r="C54" s="8">
        <v>-2.7715E-2</v>
      </c>
      <c r="D54" s="8">
        <v>-2.8934999999999999E-2</v>
      </c>
      <c r="E54" s="8">
        <f t="shared" si="1"/>
        <v>-2.1072999999999998E-2</v>
      </c>
      <c r="F54" s="8"/>
    </row>
    <row r="55" spans="1:6" x14ac:dyDescent="0.45">
      <c r="A55" s="10">
        <v>40724</v>
      </c>
      <c r="B55" s="8">
        <v>-3.4959999999999998E-2</v>
      </c>
      <c r="C55" s="8">
        <v>-4.2796000000000001E-2</v>
      </c>
      <c r="D55" s="8">
        <v>3.9584000000000001E-2</v>
      </c>
      <c r="E55" s="8">
        <f t="shared" si="1"/>
        <v>-1.2723999999999999E-2</v>
      </c>
      <c r="F55" s="8"/>
    </row>
    <row r="56" spans="1:6" x14ac:dyDescent="0.45">
      <c r="A56" s="10">
        <v>40753</v>
      </c>
      <c r="B56" s="8">
        <v>0.16328500000000001</v>
      </c>
      <c r="C56" s="8">
        <v>0.19216800000000001</v>
      </c>
      <c r="D56" s="8">
        <v>5.3845999999999998E-2</v>
      </c>
      <c r="E56" s="8">
        <f t="shared" si="1"/>
        <v>0.136433</v>
      </c>
      <c r="F56" s="8"/>
    </row>
    <row r="57" spans="1:6" x14ac:dyDescent="0.45">
      <c r="A57" s="10">
        <v>40786</v>
      </c>
      <c r="B57" s="8">
        <v>-1.4468999999999999E-2</v>
      </c>
      <c r="C57" s="8">
        <v>-0.103911</v>
      </c>
      <c r="D57" s="8">
        <v>-2.3358E-2</v>
      </c>
      <c r="E57" s="8">
        <f t="shared" si="1"/>
        <v>-4.7246000000000003E-2</v>
      </c>
      <c r="F57" s="8"/>
    </row>
    <row r="58" spans="1:6" x14ac:dyDescent="0.45">
      <c r="A58" s="10">
        <v>40816</v>
      </c>
      <c r="B58" s="8">
        <v>-9.1210000000000006E-3</v>
      </c>
      <c r="C58" s="8">
        <v>-4.7914999999999999E-2</v>
      </c>
      <c r="D58" s="8">
        <v>-6.4285999999999996E-2</v>
      </c>
      <c r="E58" s="8">
        <f t="shared" si="1"/>
        <v>-4.0440666666666666E-2</v>
      </c>
      <c r="F58" s="8"/>
    </row>
    <row r="59" spans="1:6" x14ac:dyDescent="0.45">
      <c r="A59" s="10">
        <v>40847</v>
      </c>
      <c r="B59" s="8">
        <v>6.1523000000000001E-2</v>
      </c>
      <c r="C59" s="8">
        <v>0.150668</v>
      </c>
      <c r="D59" s="8">
        <v>6.9907999999999998E-2</v>
      </c>
      <c r="E59" s="8">
        <f t="shared" si="1"/>
        <v>9.4033000000000005E-2</v>
      </c>
      <c r="F59" s="8"/>
    </row>
    <row r="60" spans="1:6" x14ac:dyDescent="0.45">
      <c r="A60" s="10">
        <v>40877</v>
      </c>
      <c r="B60" s="8">
        <v>-5.5782999999999999E-2</v>
      </c>
      <c r="C60" s="8">
        <v>1.1390000000000001E-2</v>
      </c>
      <c r="D60" s="8">
        <v>-3.1919000000000003E-2</v>
      </c>
      <c r="E60" s="8">
        <f t="shared" si="1"/>
        <v>-2.5437333333333333E-2</v>
      </c>
      <c r="F60" s="8"/>
    </row>
    <row r="61" spans="1:6" x14ac:dyDescent="0.45">
      <c r="A61" s="10">
        <v>40907</v>
      </c>
      <c r="B61" s="8">
        <v>5.9655E-2</v>
      </c>
      <c r="C61" s="8">
        <v>7.7595999999999998E-2</v>
      </c>
      <c r="D61" s="8">
        <v>1.4855E-2</v>
      </c>
      <c r="E61" s="8">
        <f t="shared" si="1"/>
        <v>5.0701999999999997E-2</v>
      </c>
      <c r="F61" s="8"/>
    </row>
    <row r="62" spans="1:6" x14ac:dyDescent="0.45">
      <c r="A62" s="10">
        <v>40939</v>
      </c>
      <c r="B62" s="8">
        <v>0.127111</v>
      </c>
      <c r="C62" s="8">
        <v>-0.101858</v>
      </c>
      <c r="D62" s="8">
        <v>0.137519</v>
      </c>
      <c r="E62" s="8">
        <f t="shared" si="1"/>
        <v>5.4257333333333331E-2</v>
      </c>
      <c r="F62" s="8"/>
    </row>
    <row r="63" spans="1:6" x14ac:dyDescent="0.45">
      <c r="A63" s="10">
        <v>40968</v>
      </c>
      <c r="B63" s="8">
        <v>0.18831100000000001</v>
      </c>
      <c r="C63" s="8">
        <v>6.5745999999999999E-2</v>
      </c>
      <c r="D63" s="8">
        <v>8.1612000000000004E-2</v>
      </c>
      <c r="E63" s="8">
        <f t="shared" si="1"/>
        <v>0.11188966666666667</v>
      </c>
      <c r="F63" s="8"/>
    </row>
    <row r="64" spans="1:6" x14ac:dyDescent="0.45">
      <c r="A64" s="10">
        <v>40998</v>
      </c>
      <c r="B64" s="8">
        <v>0.105284</v>
      </c>
      <c r="C64" s="8">
        <v>3.7185999999999997E-2</v>
      </c>
      <c r="D64" s="8">
        <v>1.6226000000000001E-2</v>
      </c>
      <c r="E64" s="8">
        <f t="shared" si="1"/>
        <v>5.2898666666666656E-2</v>
      </c>
      <c r="F64" s="8"/>
    </row>
    <row r="65" spans="1:6" x14ac:dyDescent="0.45">
      <c r="A65" s="10">
        <v>41029</v>
      </c>
      <c r="B65" s="8">
        <v>-2.5968999999999999E-2</v>
      </c>
      <c r="C65" s="8">
        <v>-5.6749000000000001E-2</v>
      </c>
      <c r="D65" s="8">
        <v>-7.4409999999999997E-3</v>
      </c>
      <c r="E65" s="8">
        <f t="shared" si="1"/>
        <v>-3.0053E-2</v>
      </c>
      <c r="F65" s="8"/>
    </row>
    <row r="66" spans="1:6" x14ac:dyDescent="0.45">
      <c r="A66" s="10">
        <v>41060</v>
      </c>
      <c r="B66" s="8">
        <v>-1.0702E-2</v>
      </c>
      <c r="C66" s="8">
        <v>-3.9662999999999997E-2</v>
      </c>
      <c r="D66" s="8">
        <v>-8.1992999999999996E-2</v>
      </c>
      <c r="E66" s="8">
        <f t="shared" si="1"/>
        <v>-4.411933333333333E-2</v>
      </c>
      <c r="F66" s="8"/>
    </row>
    <row r="67" spans="1:6" x14ac:dyDescent="0.45">
      <c r="A67" s="10">
        <v>41089</v>
      </c>
      <c r="B67" s="8">
        <v>1.0853E-2</v>
      </c>
      <c r="C67" s="8">
        <v>-1.3600000000000001E-3</v>
      </c>
      <c r="D67" s="8">
        <v>4.7961999999999998E-2</v>
      </c>
      <c r="E67" s="8">
        <f t="shared" ref="E67:E121" si="7">SUMPRODUCT(B67:D67,$I$6:$K$6)</f>
        <v>1.9151666666666664E-2</v>
      </c>
      <c r="F67" s="8"/>
    </row>
    <row r="68" spans="1:6" x14ac:dyDescent="0.45">
      <c r="A68" s="10">
        <v>41121</v>
      </c>
      <c r="B68" s="8">
        <v>4.5822000000000002E-2</v>
      </c>
      <c r="C68" s="8">
        <v>9.1195999999999999E-2</v>
      </c>
      <c r="D68" s="8">
        <v>-3.6613E-2</v>
      </c>
      <c r="E68" s="8">
        <f t="shared" si="7"/>
        <v>3.3468333333333336E-2</v>
      </c>
      <c r="F68" s="8"/>
    </row>
    <row r="69" spans="1:6" x14ac:dyDescent="0.45">
      <c r="A69" s="10">
        <v>41152</v>
      </c>
      <c r="B69" s="8">
        <v>9.3538999999999997E-2</v>
      </c>
      <c r="C69" s="8">
        <v>8.2341999999999999E-2</v>
      </c>
      <c r="D69" s="8">
        <v>5.2595999999999997E-2</v>
      </c>
      <c r="E69" s="8">
        <f t="shared" si="7"/>
        <v>7.6159000000000004E-2</v>
      </c>
      <c r="F69" s="8"/>
    </row>
    <row r="70" spans="1:6" x14ac:dyDescent="0.45">
      <c r="A70" s="10">
        <v>41180</v>
      </c>
      <c r="B70" s="8">
        <v>2.8029999999999999E-3</v>
      </c>
      <c r="C70" s="8">
        <v>0.101315</v>
      </c>
      <c r="D70" s="8">
        <v>-3.4393E-2</v>
      </c>
      <c r="E70" s="8">
        <f t="shared" si="7"/>
        <v>2.3241666666666667E-2</v>
      </c>
      <c r="F70" s="8"/>
    </row>
    <row r="71" spans="1:6" x14ac:dyDescent="0.45">
      <c r="A71" s="10">
        <v>41213</v>
      </c>
      <c r="B71" s="8">
        <v>-0.10760699999999999</v>
      </c>
      <c r="C71" s="8">
        <v>-9.8346000000000003E-2</v>
      </c>
      <c r="D71" s="8">
        <v>-4.0994999999999997E-2</v>
      </c>
      <c r="E71" s="8">
        <f t="shared" si="7"/>
        <v>-8.2315999999999986E-2</v>
      </c>
      <c r="F71" s="8"/>
    </row>
    <row r="72" spans="1:6" x14ac:dyDescent="0.45">
      <c r="A72" s="10">
        <v>41243</v>
      </c>
      <c r="B72" s="8">
        <v>-1.2413E-2</v>
      </c>
      <c r="C72" s="8">
        <v>2.6564999999999998E-2</v>
      </c>
      <c r="D72" s="8">
        <v>-5.9389999999999998E-2</v>
      </c>
      <c r="E72" s="8">
        <f t="shared" si="7"/>
        <v>-1.5079333333333332E-2</v>
      </c>
      <c r="F72" s="8"/>
    </row>
    <row r="73" spans="1:6" x14ac:dyDescent="0.45">
      <c r="A73" s="10">
        <v>41274</v>
      </c>
      <c r="B73" s="8">
        <v>-9.0737999999999999E-2</v>
      </c>
      <c r="C73" s="8">
        <v>1.2900999999999999E-2</v>
      </c>
      <c r="D73" s="8">
        <v>3.558E-3</v>
      </c>
      <c r="E73" s="8">
        <f t="shared" si="7"/>
        <v>-2.4759666666666666E-2</v>
      </c>
      <c r="F73" s="8"/>
    </row>
    <row r="74" spans="1:6" x14ac:dyDescent="0.45">
      <c r="A74" s="10">
        <v>41305</v>
      </c>
      <c r="B74" s="8">
        <v>-0.144094</v>
      </c>
      <c r="C74" s="8">
        <v>6.8293999999999994E-2</v>
      </c>
      <c r="D74" s="8">
        <v>2.7716999999999999E-2</v>
      </c>
      <c r="E74" s="8">
        <f t="shared" si="7"/>
        <v>-1.6027666666666669E-2</v>
      </c>
      <c r="F74" s="8"/>
    </row>
    <row r="75" spans="1:6" x14ac:dyDescent="0.45">
      <c r="A75" s="10">
        <v>41333</v>
      </c>
      <c r="B75" s="8">
        <v>-2.5115999999999999E-2</v>
      </c>
      <c r="C75" s="8">
        <v>6.0222999999999999E-2</v>
      </c>
      <c r="D75" s="8">
        <v>2.1128999999999998E-2</v>
      </c>
      <c r="E75" s="8">
        <f t="shared" si="7"/>
        <v>1.8745333333333333E-2</v>
      </c>
      <c r="F75" s="8"/>
    </row>
    <row r="76" spans="1:6" x14ac:dyDescent="0.45">
      <c r="A76" s="10">
        <v>41361</v>
      </c>
      <c r="B76" s="8">
        <v>2.8549999999999999E-3</v>
      </c>
      <c r="C76" s="8">
        <v>-8.7519999999999994E-3</v>
      </c>
      <c r="D76" s="8">
        <v>2.8957E-2</v>
      </c>
      <c r="E76" s="8">
        <f t="shared" si="7"/>
        <v>7.6866666666666663E-3</v>
      </c>
      <c r="F76" s="8"/>
    </row>
    <row r="77" spans="1:6" x14ac:dyDescent="0.45">
      <c r="A77" s="10">
        <v>41394</v>
      </c>
      <c r="B77" s="8">
        <v>2.7099999999999997E-4</v>
      </c>
      <c r="C77" s="8">
        <v>3.8254999999999997E-2</v>
      </c>
      <c r="D77" s="8">
        <v>0.15714</v>
      </c>
      <c r="E77" s="8">
        <f t="shared" si="7"/>
        <v>6.5221999999999988E-2</v>
      </c>
      <c r="F77" s="8"/>
    </row>
    <row r="78" spans="1:6" x14ac:dyDescent="0.45">
      <c r="A78" s="10">
        <v>41425</v>
      </c>
      <c r="B78" s="8">
        <v>2.2596000000000002E-2</v>
      </c>
      <c r="C78" s="8">
        <v>5.6572999999999998E-2</v>
      </c>
      <c r="D78" s="8">
        <v>6.1329000000000002E-2</v>
      </c>
      <c r="E78" s="8">
        <f t="shared" si="7"/>
        <v>4.6832666666666661E-2</v>
      </c>
      <c r="F78" s="8"/>
    </row>
    <row r="79" spans="1:6" x14ac:dyDescent="0.45">
      <c r="A79" s="10">
        <v>41453</v>
      </c>
      <c r="B79" s="8">
        <v>-0.11830300000000001</v>
      </c>
      <c r="C79" s="8">
        <v>1.0505E-2</v>
      </c>
      <c r="D79" s="8">
        <v>-1.0172E-2</v>
      </c>
      <c r="E79" s="8">
        <f t="shared" si="7"/>
        <v>-3.9323333333333335E-2</v>
      </c>
      <c r="F79" s="8"/>
    </row>
    <row r="80" spans="1:6" x14ac:dyDescent="0.45">
      <c r="A80" s="10">
        <v>41486</v>
      </c>
      <c r="B80" s="8">
        <v>0.14122499999999999</v>
      </c>
      <c r="C80" s="8">
        <v>8.3829999999999998E-3</v>
      </c>
      <c r="D80" s="8">
        <v>-7.8303999999999999E-2</v>
      </c>
      <c r="E80" s="8">
        <f t="shared" si="7"/>
        <v>2.3767999999999997E-2</v>
      </c>
      <c r="F80" s="8"/>
    </row>
    <row r="81" spans="1:6" x14ac:dyDescent="0.45">
      <c r="A81" s="10">
        <v>41516</v>
      </c>
      <c r="B81" s="8">
        <v>8.3389000000000005E-2</v>
      </c>
      <c r="C81" s="8">
        <v>-4.6015E-2</v>
      </c>
      <c r="D81" s="8">
        <v>5.6218999999999998E-2</v>
      </c>
      <c r="E81" s="8">
        <f t="shared" si="7"/>
        <v>3.1197666666666665E-2</v>
      </c>
      <c r="F81" s="8"/>
    </row>
    <row r="82" spans="1:6" x14ac:dyDescent="0.45">
      <c r="A82" s="10">
        <v>41547</v>
      </c>
      <c r="B82" s="8">
        <v>-2.1481E-2</v>
      </c>
      <c r="C82" s="8">
        <v>3.4254E-2</v>
      </c>
      <c r="D82" s="8">
        <v>-3.5929999999999998E-3</v>
      </c>
      <c r="E82" s="8">
        <f t="shared" si="7"/>
        <v>3.0600000000000002E-3</v>
      </c>
      <c r="F82" s="8"/>
    </row>
    <row r="83" spans="1:6" x14ac:dyDescent="0.45">
      <c r="A83" s="10">
        <v>41578</v>
      </c>
      <c r="B83" s="8">
        <v>9.6385999999999999E-2</v>
      </c>
      <c r="C83" s="8">
        <v>0.17658199999999999</v>
      </c>
      <c r="D83" s="8">
        <v>6.3852000000000006E-2</v>
      </c>
      <c r="E83" s="8">
        <f t="shared" si="7"/>
        <v>0.11227333333333332</v>
      </c>
      <c r="F83" s="8"/>
    </row>
    <row r="84" spans="1:6" x14ac:dyDescent="0.45">
      <c r="A84" s="10">
        <v>41607</v>
      </c>
      <c r="B84" s="8">
        <v>6.9672999999999999E-2</v>
      </c>
      <c r="C84" s="8">
        <v>2.8149E-2</v>
      </c>
      <c r="D84" s="8">
        <v>8.4875000000000006E-2</v>
      </c>
      <c r="E84" s="8">
        <f t="shared" si="7"/>
        <v>6.0899000000000002E-2</v>
      </c>
      <c r="F84" s="8"/>
    </row>
    <row r="85" spans="1:6" x14ac:dyDescent="0.45">
      <c r="A85" s="10">
        <v>41639</v>
      </c>
      <c r="B85" s="8">
        <v>8.9020000000000002E-3</v>
      </c>
      <c r="C85" s="8">
        <v>5.7682999999999998E-2</v>
      </c>
      <c r="D85" s="8">
        <v>-1.8883E-2</v>
      </c>
      <c r="E85" s="8">
        <f t="shared" si="7"/>
        <v>1.5900666666666664E-2</v>
      </c>
      <c r="F85" s="8"/>
    </row>
    <row r="86" spans="1:6" x14ac:dyDescent="0.45">
      <c r="A86" s="10">
        <v>41670</v>
      </c>
      <c r="B86" s="8">
        <v>-0.107697</v>
      </c>
      <c r="C86" s="8">
        <v>5.3768999999999997E-2</v>
      </c>
      <c r="D86" s="8">
        <v>1.1494000000000001E-2</v>
      </c>
      <c r="E86" s="8">
        <f t="shared" si="7"/>
        <v>-1.414466666666667E-2</v>
      </c>
      <c r="F86" s="8"/>
    </row>
    <row r="87" spans="1:6" x14ac:dyDescent="0.45">
      <c r="A87" s="10">
        <v>41698</v>
      </c>
      <c r="B87" s="8">
        <v>5.7311000000000001E-2</v>
      </c>
      <c r="C87" s="8">
        <v>2.9366E-2</v>
      </c>
      <c r="D87" s="8">
        <v>1.9820000000000001E-2</v>
      </c>
      <c r="E87" s="8">
        <f t="shared" si="7"/>
        <v>3.5499000000000003E-2</v>
      </c>
      <c r="F87" s="8"/>
    </row>
    <row r="88" spans="1:6" x14ac:dyDescent="0.45">
      <c r="A88" s="10">
        <v>41729</v>
      </c>
      <c r="B88" s="8">
        <v>1.9952999999999999E-2</v>
      </c>
      <c r="C88" s="8">
        <v>-8.3197999999999994E-2</v>
      </c>
      <c r="D88" s="8">
        <v>6.9956000000000004E-2</v>
      </c>
      <c r="E88" s="8">
        <f t="shared" si="7"/>
        <v>2.2370000000000029E-3</v>
      </c>
      <c r="F88" s="8"/>
    </row>
    <row r="89" spans="1:6" x14ac:dyDescent="0.45">
      <c r="A89" s="10">
        <v>41759</v>
      </c>
      <c r="B89" s="8">
        <v>9.9395999999999998E-2</v>
      </c>
      <c r="C89" s="8">
        <v>-4.1640000000000003E-2</v>
      </c>
      <c r="D89" s="8">
        <v>-1.4394000000000001E-2</v>
      </c>
      <c r="E89" s="8">
        <f t="shared" si="7"/>
        <v>1.4453999999999995E-2</v>
      </c>
      <c r="F89" s="8"/>
    </row>
    <row r="90" spans="1:6" x14ac:dyDescent="0.45">
      <c r="A90" s="10">
        <v>41789</v>
      </c>
      <c r="B90" s="8">
        <v>7.8293000000000001E-2</v>
      </c>
      <c r="C90" s="8">
        <v>6.8744E-2</v>
      </c>
      <c r="D90" s="8">
        <v>2.0296999999999999E-2</v>
      </c>
      <c r="E90" s="8">
        <f t="shared" si="7"/>
        <v>5.5777999999999994E-2</v>
      </c>
      <c r="F90" s="8"/>
    </row>
    <row r="91" spans="1:6" x14ac:dyDescent="0.45">
      <c r="A91" s="10">
        <v>41820</v>
      </c>
      <c r="B91" s="8">
        <v>2.7661999999999999E-2</v>
      </c>
      <c r="C91" s="8">
        <v>2.2776000000000001E-2</v>
      </c>
      <c r="D91" s="8">
        <v>1.8564000000000001E-2</v>
      </c>
      <c r="E91" s="8">
        <f t="shared" si="7"/>
        <v>2.3000666666666662E-2</v>
      </c>
      <c r="F91" s="8"/>
    </row>
    <row r="92" spans="1:6" x14ac:dyDescent="0.45">
      <c r="A92" s="10">
        <v>41851</v>
      </c>
      <c r="B92" s="8">
        <v>2.8731E-2</v>
      </c>
      <c r="C92" s="8">
        <v>-8.7569999999999992E-3</v>
      </c>
      <c r="D92" s="8">
        <v>3.5012000000000001E-2</v>
      </c>
      <c r="E92" s="8">
        <f t="shared" si="7"/>
        <v>1.8328666666666667E-2</v>
      </c>
      <c r="F92" s="8"/>
    </row>
    <row r="93" spans="1:6" x14ac:dyDescent="0.45">
      <c r="A93" s="10">
        <v>41880</v>
      </c>
      <c r="B93" s="8">
        <v>7.7091999999999994E-2</v>
      </c>
      <c r="C93" s="8">
        <v>4.849E-3</v>
      </c>
      <c r="D93" s="8">
        <v>5.9082000000000003E-2</v>
      </c>
      <c r="E93" s="8">
        <f t="shared" si="7"/>
        <v>4.7007666666666663E-2</v>
      </c>
      <c r="F93" s="8"/>
    </row>
    <row r="94" spans="1:6" x14ac:dyDescent="0.45">
      <c r="A94" s="10">
        <v>41912</v>
      </c>
      <c r="B94" s="8">
        <v>-1.7073000000000001E-2</v>
      </c>
      <c r="C94" s="8">
        <v>1.0389000000000001E-2</v>
      </c>
      <c r="D94" s="8">
        <v>2.0471E-2</v>
      </c>
      <c r="E94" s="8">
        <f t="shared" si="7"/>
        <v>4.5956666666666663E-3</v>
      </c>
      <c r="F94" s="8"/>
    </row>
    <row r="95" spans="1:6" x14ac:dyDescent="0.45">
      <c r="A95" s="10">
        <v>41943</v>
      </c>
      <c r="B95" s="8">
        <v>7.1959999999999996E-2</v>
      </c>
      <c r="C95" s="8">
        <v>-3.4908000000000002E-2</v>
      </c>
      <c r="D95" s="8">
        <v>1.2725999999999999E-2</v>
      </c>
      <c r="E95" s="8">
        <f t="shared" si="7"/>
        <v>1.6592666666666662E-2</v>
      </c>
      <c r="F95" s="8"/>
    </row>
    <row r="96" spans="1:6" x14ac:dyDescent="0.45">
      <c r="A96" s="10">
        <v>41971</v>
      </c>
      <c r="B96" s="8">
        <v>0.105556</v>
      </c>
      <c r="C96" s="8">
        <v>-3.3089E-2</v>
      </c>
      <c r="D96" s="8">
        <v>2.4920000000000001E-2</v>
      </c>
      <c r="E96" s="8">
        <f t="shared" si="7"/>
        <v>3.2462333333333329E-2</v>
      </c>
      <c r="F96" s="8"/>
    </row>
    <row r="97" spans="1:6" x14ac:dyDescent="0.45">
      <c r="A97" s="10">
        <v>42004</v>
      </c>
      <c r="B97" s="8">
        <v>-7.1890999999999997E-2</v>
      </c>
      <c r="C97" s="8">
        <v>-3.3547E-2</v>
      </c>
      <c r="D97" s="8">
        <v>-2.8445999999999999E-2</v>
      </c>
      <c r="E97" s="8">
        <f t="shared" si="7"/>
        <v>-4.4627999999999994E-2</v>
      </c>
      <c r="F97" s="8"/>
    </row>
    <row r="98" spans="1:6" x14ac:dyDescent="0.45">
      <c r="A98" s="10">
        <v>42034</v>
      </c>
      <c r="B98" s="8">
        <v>6.1423999999999999E-2</v>
      </c>
      <c r="C98" s="8">
        <v>1.2984000000000001E-2</v>
      </c>
      <c r="D98" s="8">
        <v>-0.130248</v>
      </c>
      <c r="E98" s="8">
        <f t="shared" si="7"/>
        <v>-1.8613333333333329E-2</v>
      </c>
      <c r="F98" s="8"/>
    </row>
    <row r="99" spans="1:6" x14ac:dyDescent="0.45">
      <c r="A99" s="10">
        <v>42062</v>
      </c>
      <c r="B99" s="8">
        <v>0.10046099999999999</v>
      </c>
      <c r="C99" s="8">
        <v>4.6656000000000003E-2</v>
      </c>
      <c r="D99" s="8">
        <v>9.3068999999999999E-2</v>
      </c>
      <c r="E99" s="8">
        <f t="shared" si="7"/>
        <v>8.0061999999999994E-2</v>
      </c>
      <c r="F99" s="8"/>
    </row>
    <row r="100" spans="1:6" x14ac:dyDescent="0.45">
      <c r="A100" s="10">
        <v>42094</v>
      </c>
      <c r="B100" s="8">
        <v>-3.1371999999999997E-2</v>
      </c>
      <c r="C100" s="8">
        <v>-1.4095E-2</v>
      </c>
      <c r="D100" s="8">
        <v>-7.2861999999999996E-2</v>
      </c>
      <c r="E100" s="8">
        <f t="shared" si="7"/>
        <v>-3.9442999999999992E-2</v>
      </c>
      <c r="F100" s="8"/>
    </row>
    <row r="101" spans="1:6" x14ac:dyDescent="0.45">
      <c r="A101" s="10">
        <v>42124</v>
      </c>
      <c r="B101" s="8">
        <v>5.7860000000000003E-3</v>
      </c>
      <c r="C101" s="8">
        <v>-1.069E-2</v>
      </c>
      <c r="D101" s="8">
        <v>0.196409</v>
      </c>
      <c r="E101" s="8">
        <f t="shared" si="7"/>
        <v>6.3834999999999989E-2</v>
      </c>
      <c r="F101" s="8"/>
    </row>
    <row r="102" spans="1:6" x14ac:dyDescent="0.45">
      <c r="A102" s="10">
        <v>42153</v>
      </c>
      <c r="B102" s="8">
        <v>4.5145999999999999E-2</v>
      </c>
      <c r="C102" s="8">
        <v>-6.2870000000000001E-3</v>
      </c>
      <c r="D102" s="8">
        <v>-3.0221999999999999E-2</v>
      </c>
      <c r="E102" s="8">
        <f t="shared" si="7"/>
        <v>2.8789999999999996E-3</v>
      </c>
      <c r="F102" s="8"/>
    </row>
    <row r="103" spans="1:6" x14ac:dyDescent="0.45">
      <c r="A103" s="10">
        <v>42185</v>
      </c>
      <c r="B103" s="8">
        <v>-3.7266000000000001E-2</v>
      </c>
      <c r="C103" s="8">
        <v>-9.6819999999999996E-3</v>
      </c>
      <c r="D103" s="8">
        <v>-5.7832000000000001E-2</v>
      </c>
      <c r="E103" s="8">
        <f t="shared" si="7"/>
        <v>-3.4926666666666661E-2</v>
      </c>
      <c r="F103" s="8"/>
    </row>
    <row r="104" spans="1:6" x14ac:dyDescent="0.45">
      <c r="A104" s="10">
        <v>42216</v>
      </c>
      <c r="B104" s="8">
        <v>-3.2888000000000001E-2</v>
      </c>
      <c r="C104" s="8">
        <v>0.217502</v>
      </c>
      <c r="D104" s="8">
        <v>5.7757999999999997E-2</v>
      </c>
      <c r="E104" s="8">
        <f t="shared" si="7"/>
        <v>8.0790666666666663E-2</v>
      </c>
      <c r="F104" s="8"/>
    </row>
    <row r="105" spans="1:6" x14ac:dyDescent="0.45">
      <c r="A105" s="10">
        <v>42247</v>
      </c>
      <c r="B105" s="8">
        <v>-6.6116999999999995E-2</v>
      </c>
      <c r="C105" s="8">
        <v>-1.4722000000000001E-2</v>
      </c>
      <c r="D105" s="8">
        <v>-6.1455999999999997E-2</v>
      </c>
      <c r="E105" s="8">
        <f t="shared" si="7"/>
        <v>-4.7431666666666664E-2</v>
      </c>
      <c r="F105" s="8"/>
    </row>
    <row r="106" spans="1:6" x14ac:dyDescent="0.45">
      <c r="A106" s="10">
        <v>42277</v>
      </c>
      <c r="B106" s="8">
        <v>-2.1815999999999999E-2</v>
      </c>
      <c r="C106" s="8">
        <v>-1.4586999999999999E-2</v>
      </c>
      <c r="D106" s="8">
        <v>1.7003999999999998E-2</v>
      </c>
      <c r="E106" s="8">
        <f t="shared" si="7"/>
        <v>-6.4663333333333326E-3</v>
      </c>
      <c r="F106" s="8"/>
    </row>
    <row r="107" spans="1:6" x14ac:dyDescent="0.45">
      <c r="A107" s="10">
        <v>42307</v>
      </c>
      <c r="B107" s="8">
        <v>8.3408999999999997E-2</v>
      </c>
      <c r="C107" s="8">
        <v>0.155114</v>
      </c>
      <c r="D107" s="8">
        <v>0.189336</v>
      </c>
      <c r="E107" s="8">
        <f t="shared" si="7"/>
        <v>0.14261966666666664</v>
      </c>
      <c r="F107" s="8"/>
    </row>
    <row r="108" spans="1:6" x14ac:dyDescent="0.45">
      <c r="A108" s="10">
        <v>42338</v>
      </c>
      <c r="B108" s="8">
        <v>-5.6899999999999997E-3</v>
      </c>
      <c r="C108" s="8">
        <v>3.4527000000000002E-2</v>
      </c>
      <c r="D108" s="8">
        <v>3.9323999999999998E-2</v>
      </c>
      <c r="E108" s="8">
        <f t="shared" si="7"/>
        <v>2.2720333333333332E-2</v>
      </c>
      <c r="F108" s="8"/>
    </row>
    <row r="109" spans="1:6" x14ac:dyDescent="0.45">
      <c r="A109" s="10">
        <v>42369</v>
      </c>
      <c r="B109" s="8">
        <v>-0.11022800000000001</v>
      </c>
      <c r="C109" s="8">
        <v>1.9872999999999998E-2</v>
      </c>
      <c r="D109" s="8">
        <v>2.0791E-2</v>
      </c>
      <c r="E109" s="8">
        <f t="shared" si="7"/>
        <v>-2.3188E-2</v>
      </c>
      <c r="F109" s="8"/>
    </row>
    <row r="110" spans="1:6" x14ac:dyDescent="0.45">
      <c r="A110" s="10">
        <v>42398</v>
      </c>
      <c r="B110" s="8">
        <v>-7.5242000000000003E-2</v>
      </c>
      <c r="C110" s="8">
        <v>-2.1413999999999999E-2</v>
      </c>
      <c r="D110" s="8">
        <v>-7.0299999999999998E-3</v>
      </c>
      <c r="E110" s="8">
        <f t="shared" si="7"/>
        <v>-3.4562000000000002E-2</v>
      </c>
      <c r="F110" s="8"/>
    </row>
    <row r="111" spans="1:6" x14ac:dyDescent="0.45">
      <c r="A111" s="10">
        <v>42429</v>
      </c>
      <c r="B111" s="8">
        <v>-1.335E-3</v>
      </c>
      <c r="C111" s="8">
        <v>-5.7963000000000001E-2</v>
      </c>
      <c r="D111" s="8">
        <v>-6.9886000000000004E-2</v>
      </c>
      <c r="E111" s="8">
        <f t="shared" si="7"/>
        <v>-4.3061333333333333E-2</v>
      </c>
      <c r="F111" s="8"/>
    </row>
    <row r="112" spans="1:6" x14ac:dyDescent="0.45">
      <c r="A112" s="10">
        <v>42460</v>
      </c>
      <c r="B112" s="8">
        <v>0.12721099999999999</v>
      </c>
      <c r="C112" s="8">
        <v>6.3689999999999997E-2</v>
      </c>
      <c r="D112" s="8">
        <v>8.5495000000000002E-2</v>
      </c>
      <c r="E112" s="8">
        <f t="shared" si="7"/>
        <v>9.2131999999999992E-2</v>
      </c>
      <c r="F112" s="8"/>
    </row>
    <row r="113" spans="1:6" x14ac:dyDescent="0.45">
      <c r="A113" s="10">
        <v>42489</v>
      </c>
      <c r="B113" s="8">
        <v>-0.13992099999999999</v>
      </c>
      <c r="C113" s="8">
        <v>-7.2120000000000004E-2</v>
      </c>
      <c r="D113" s="8">
        <v>-9.7048999999999996E-2</v>
      </c>
      <c r="E113" s="8">
        <f t="shared" si="7"/>
        <v>-0.10302999999999998</v>
      </c>
      <c r="F113" s="8"/>
    </row>
    <row r="114" spans="1:6" x14ac:dyDescent="0.45">
      <c r="A114" s="10">
        <v>42521</v>
      </c>
      <c r="B114" s="8">
        <v>7.1368000000000001E-2</v>
      </c>
      <c r="C114" s="8">
        <v>5.7876999999999998E-2</v>
      </c>
      <c r="D114" s="8">
        <v>6.9982000000000003E-2</v>
      </c>
      <c r="E114" s="8">
        <f t="shared" si="7"/>
        <v>6.6408999999999996E-2</v>
      </c>
      <c r="F114" s="8"/>
    </row>
    <row r="115" spans="1:6" x14ac:dyDescent="0.45">
      <c r="A115" s="10">
        <v>42551</v>
      </c>
      <c r="B115" s="8">
        <v>-4.2659999999999997E-2</v>
      </c>
      <c r="C115" s="8">
        <v>-6.0519000000000003E-2</v>
      </c>
      <c r="D115" s="8">
        <v>-3.4528000000000003E-2</v>
      </c>
      <c r="E115" s="8">
        <f t="shared" si="7"/>
        <v>-4.5902333333333337E-2</v>
      </c>
      <c r="F115" s="8"/>
    </row>
    <row r="116" spans="1:6" x14ac:dyDescent="0.45">
      <c r="A116" s="10">
        <v>42580</v>
      </c>
      <c r="B116" s="8">
        <v>9.0063000000000004E-2</v>
      </c>
      <c r="C116" s="8">
        <v>0.12481299999999999</v>
      </c>
      <c r="D116" s="8">
        <v>0.10768</v>
      </c>
      <c r="E116" s="8">
        <f t="shared" si="7"/>
        <v>0.10751866666666665</v>
      </c>
      <c r="F116" s="8"/>
    </row>
    <row r="117" spans="1:6" x14ac:dyDescent="0.45">
      <c r="A117" s="10">
        <v>42613</v>
      </c>
      <c r="B117" s="8">
        <v>2.3605999999999999E-2</v>
      </c>
      <c r="C117" s="8">
        <v>-1.8829999999999999E-3</v>
      </c>
      <c r="D117" s="8">
        <v>2.0112999999999999E-2</v>
      </c>
      <c r="E117" s="8">
        <f t="shared" si="7"/>
        <v>1.3945333333333332E-2</v>
      </c>
      <c r="F117" s="8"/>
    </row>
    <row r="118" spans="1:6" x14ac:dyDescent="0.45">
      <c r="A118" s="10">
        <v>42643</v>
      </c>
      <c r="B118" s="8">
        <v>6.5504000000000007E-2</v>
      </c>
      <c r="C118" s="8">
        <v>1.7991E-2</v>
      </c>
      <c r="D118" s="8">
        <v>2.4359999999999998E-3</v>
      </c>
      <c r="E118" s="8">
        <f t="shared" si="7"/>
        <v>2.8643666666666668E-2</v>
      </c>
      <c r="F118" s="8"/>
    </row>
    <row r="119" spans="1:6" x14ac:dyDescent="0.45">
      <c r="A119" s="10">
        <v>42674</v>
      </c>
      <c r="B119" s="8">
        <v>4.3340000000000002E-3</v>
      </c>
      <c r="C119" s="8">
        <v>7.2630000000000004E-3</v>
      </c>
      <c r="D119" s="8">
        <v>4.0278000000000001E-2</v>
      </c>
      <c r="E119" s="8">
        <f t="shared" si="7"/>
        <v>1.7291666666666667E-2</v>
      </c>
      <c r="F119" s="8"/>
    </row>
    <row r="120" spans="1:6" x14ac:dyDescent="0.45">
      <c r="A120" s="10">
        <v>42704</v>
      </c>
      <c r="B120" s="8">
        <v>-2.1578E-2</v>
      </c>
      <c r="C120" s="8">
        <v>-4.2005000000000001E-2</v>
      </c>
      <c r="D120" s="8">
        <v>1.2182999999999999E-2</v>
      </c>
      <c r="E120" s="8">
        <f t="shared" si="7"/>
        <v>-1.7133333333333334E-2</v>
      </c>
      <c r="F120" s="8"/>
    </row>
    <row r="121" spans="1:6" x14ac:dyDescent="0.45">
      <c r="A121" s="10">
        <v>42734</v>
      </c>
      <c r="B121" s="8">
        <v>4.7954999999999998E-2</v>
      </c>
      <c r="C121" s="8">
        <v>2.1356E-2</v>
      </c>
      <c r="D121" s="8">
        <v>3.1198E-2</v>
      </c>
      <c r="E121" s="8">
        <f t="shared" si="7"/>
        <v>3.3502999999999998E-2</v>
      </c>
      <c r="F121" s="8"/>
    </row>
  </sheetData>
  <pageMargins left="0.7" right="0.7" top="0.75" bottom="0.75" header="0.3" footer="0.3"/>
  <pageSetup orientation="portrait" r:id="rId1"/>
  <ignoredErrors>
    <ignoredError sqref="E2:E12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301F-0124-4FD4-8394-666EC2CB97E8}">
  <dimension ref="A1:M1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25" x14ac:dyDescent="0.45"/>
  <cols>
    <col min="1" max="1" width="9.06640625" style="3"/>
    <col min="2" max="5" width="9.06640625" style="14"/>
    <col min="7" max="7" width="17.86328125" bestFit="1" customWidth="1"/>
    <col min="8" max="13" width="12.59765625" customWidth="1"/>
  </cols>
  <sheetData>
    <row r="1" spans="1:12" s="23" customFormat="1" ht="42.75" x14ac:dyDescent="0.45">
      <c r="A1" s="21" t="s">
        <v>10</v>
      </c>
      <c r="B1" s="22" t="s">
        <v>12</v>
      </c>
      <c r="C1" s="22" t="s">
        <v>16</v>
      </c>
      <c r="D1" s="22" t="s">
        <v>17</v>
      </c>
      <c r="E1" s="22" t="s">
        <v>18</v>
      </c>
      <c r="H1" s="22" t="s">
        <v>12</v>
      </c>
      <c r="I1" s="22" t="s">
        <v>16</v>
      </c>
    </row>
    <row r="2" spans="1:12" x14ac:dyDescent="0.45">
      <c r="A2" s="10">
        <v>39113</v>
      </c>
      <c r="B2" s="14">
        <v>1.0489999999999999E-2</v>
      </c>
      <c r="C2" s="14">
        <v>1.84E-2</v>
      </c>
      <c r="D2" s="14">
        <f>B2-0.5%</f>
        <v>5.4899999999999992E-3</v>
      </c>
      <c r="E2" s="14">
        <f>C2-0.5%</f>
        <v>1.3399999999999999E-2</v>
      </c>
      <c r="G2" t="s">
        <v>8</v>
      </c>
      <c r="H2" s="4">
        <f>AVERAGE(D2:D121)</f>
        <v>1.9107308333333337E-2</v>
      </c>
      <c r="I2" s="18">
        <f>AVERAGE(E2:E121)</f>
        <v>1.9083333333333324E-3</v>
      </c>
      <c r="J2" t="str">
        <f ca="1">_xlfn.FORMULATEXT(I2)</f>
        <v>=AVERAGE(E2:E121)</v>
      </c>
    </row>
    <row r="3" spans="1:12" x14ac:dyDescent="0.45">
      <c r="A3" s="10">
        <v>39141</v>
      </c>
      <c r="B3" s="14">
        <v>-1.3063999999999999E-2</v>
      </c>
      <c r="C3" s="14">
        <v>-1.5800000000000002E-2</v>
      </c>
      <c r="D3" s="14">
        <f t="shared" ref="D3:D66" si="0">B3-0.5%</f>
        <v>-1.8064E-2</v>
      </c>
      <c r="E3" s="14">
        <f t="shared" ref="E3:E66" si="1">C3-0.5%</f>
        <v>-2.0800000000000003E-2</v>
      </c>
    </row>
    <row r="4" spans="1:12" x14ac:dyDescent="0.45">
      <c r="A4" s="10">
        <v>39171</v>
      </c>
      <c r="B4" s="14">
        <v>9.8097000000000004E-2</v>
      </c>
      <c r="C4" s="14">
        <v>1.11E-2</v>
      </c>
      <c r="D4" s="14">
        <f t="shared" si="0"/>
        <v>9.3096999999999999E-2</v>
      </c>
      <c r="E4" s="14">
        <f t="shared" si="1"/>
        <v>6.1000000000000004E-3</v>
      </c>
      <c r="G4" s="33" t="s">
        <v>19</v>
      </c>
      <c r="H4" s="33"/>
    </row>
    <row r="5" spans="1:12" ht="14.65" thickBot="1" x14ac:dyDescent="0.5">
      <c r="A5" s="10">
        <v>39202</v>
      </c>
      <c r="B5" s="14">
        <v>7.4158000000000002E-2</v>
      </c>
      <c r="C5" s="14">
        <v>3.9300000000000002E-2</v>
      </c>
      <c r="D5" s="14">
        <f t="shared" si="0"/>
        <v>6.9157999999999997E-2</v>
      </c>
      <c r="E5" s="14">
        <f t="shared" si="1"/>
        <v>3.4300000000000004E-2</v>
      </c>
    </row>
    <row r="6" spans="1:12" x14ac:dyDescent="0.45">
      <c r="A6" s="10">
        <v>39233</v>
      </c>
      <c r="B6" s="14">
        <v>0.214339</v>
      </c>
      <c r="C6" s="14">
        <v>3.6500000000000005E-2</v>
      </c>
      <c r="D6" s="14">
        <f t="shared" si="0"/>
        <v>0.209339</v>
      </c>
      <c r="E6" s="14">
        <f t="shared" si="1"/>
        <v>3.1500000000000007E-2</v>
      </c>
      <c r="G6" s="26" t="s">
        <v>20</v>
      </c>
      <c r="H6" s="26"/>
    </row>
    <row r="7" spans="1:12" x14ac:dyDescent="0.45">
      <c r="A7" s="10">
        <v>39262</v>
      </c>
      <c r="B7" s="14">
        <v>7.0049999999999999E-3</v>
      </c>
      <c r="C7" s="14">
        <v>-1.5600000000000001E-2</v>
      </c>
      <c r="D7" s="14">
        <f t="shared" si="0"/>
        <v>2.0049999999999998E-3</v>
      </c>
      <c r="E7" s="14">
        <f t="shared" si="1"/>
        <v>-2.06E-2</v>
      </c>
      <c r="G7" t="s">
        <v>21</v>
      </c>
      <c r="H7" s="27">
        <v>0.5714675739919961</v>
      </c>
    </row>
    <row r="8" spans="1:12" x14ac:dyDescent="0.45">
      <c r="A8" s="10">
        <v>39294</v>
      </c>
      <c r="B8" s="14">
        <v>7.9645999999999995E-2</v>
      </c>
      <c r="C8" s="14">
        <v>-3.3300000000000003E-2</v>
      </c>
      <c r="D8" s="14">
        <f t="shared" si="0"/>
        <v>7.464599999999999E-2</v>
      </c>
      <c r="E8" s="14">
        <f t="shared" si="1"/>
        <v>-3.8300000000000001E-2</v>
      </c>
      <c r="G8" t="s">
        <v>22</v>
      </c>
      <c r="H8" s="28">
        <v>0.32657518812429748</v>
      </c>
    </row>
    <row r="9" spans="1:12" x14ac:dyDescent="0.45">
      <c r="A9" s="10">
        <v>39325</v>
      </c>
      <c r="B9" s="14">
        <v>5.1001999999999999E-2</v>
      </c>
      <c r="C9" s="14">
        <v>1.34E-2</v>
      </c>
      <c r="D9" s="14">
        <f t="shared" si="0"/>
        <v>4.6002000000000001E-2</v>
      </c>
      <c r="E9" s="14">
        <f t="shared" si="1"/>
        <v>8.4000000000000012E-3</v>
      </c>
      <c r="G9" t="s">
        <v>23</v>
      </c>
      <c r="H9" s="28">
        <v>0.32086819819314749</v>
      </c>
    </row>
    <row r="10" spans="1:12" x14ac:dyDescent="0.45">
      <c r="A10" s="10">
        <v>39353</v>
      </c>
      <c r="B10" s="14">
        <v>0.108247</v>
      </c>
      <c r="C10" s="14">
        <v>3.5400000000000001E-2</v>
      </c>
      <c r="D10" s="14">
        <f t="shared" si="0"/>
        <v>0.10324699999999999</v>
      </c>
      <c r="E10" s="14">
        <f t="shared" si="1"/>
        <v>3.04E-2</v>
      </c>
      <c r="G10" t="s">
        <v>24</v>
      </c>
      <c r="H10" s="27">
        <v>7.5728402252121102E-2</v>
      </c>
    </row>
    <row r="11" spans="1:12" ht="14.65" thickBot="1" x14ac:dyDescent="0.5">
      <c r="A11" s="10">
        <v>39386</v>
      </c>
      <c r="B11" s="14">
        <v>0.237701</v>
      </c>
      <c r="C11" s="14">
        <v>2.12E-2</v>
      </c>
      <c r="D11" s="14">
        <f t="shared" si="0"/>
        <v>0.23270099999999999</v>
      </c>
      <c r="E11" s="14">
        <f t="shared" si="1"/>
        <v>1.6199999999999999E-2</v>
      </c>
      <c r="G11" s="24" t="s">
        <v>25</v>
      </c>
      <c r="H11" s="24">
        <v>120</v>
      </c>
    </row>
    <row r="12" spans="1:12" x14ac:dyDescent="0.45">
      <c r="A12" s="10">
        <v>39416</v>
      </c>
      <c r="B12" s="14">
        <v>-4.0695000000000002E-2</v>
      </c>
      <c r="C12" s="14">
        <v>-4.4900000000000002E-2</v>
      </c>
      <c r="D12" s="14">
        <f t="shared" si="0"/>
        <v>-4.5695E-2</v>
      </c>
      <c r="E12" s="14">
        <f t="shared" si="1"/>
        <v>-4.99E-2</v>
      </c>
    </row>
    <row r="13" spans="1:12" ht="14.65" thickBot="1" x14ac:dyDescent="0.5">
      <c r="A13" s="10">
        <v>39447</v>
      </c>
      <c r="B13" s="14">
        <v>8.7038000000000004E-2</v>
      </c>
      <c r="C13" s="14">
        <v>-6.0000000000000001E-3</v>
      </c>
      <c r="D13" s="14">
        <f t="shared" si="0"/>
        <v>8.2038E-2</v>
      </c>
      <c r="E13" s="14">
        <f t="shared" si="1"/>
        <v>-1.0999999999999999E-2</v>
      </c>
      <c r="G13" t="s">
        <v>26</v>
      </c>
    </row>
    <row r="14" spans="1:12" x14ac:dyDescent="0.45">
      <c r="A14" s="10">
        <v>39478</v>
      </c>
      <c r="B14" s="14">
        <v>-0.31663999999999998</v>
      </c>
      <c r="C14" s="14">
        <v>-6.1500000000000006E-2</v>
      </c>
      <c r="D14" s="14">
        <f t="shared" si="0"/>
        <v>-0.32163999999999998</v>
      </c>
      <c r="E14" s="14">
        <f t="shared" si="1"/>
        <v>-6.6500000000000004E-2</v>
      </c>
      <c r="G14" s="25"/>
      <c r="H14" s="25" t="s">
        <v>31</v>
      </c>
      <c r="I14" s="25" t="s">
        <v>32</v>
      </c>
      <c r="J14" s="25" t="s">
        <v>33</v>
      </c>
      <c r="K14" s="25" t="s">
        <v>34</v>
      </c>
      <c r="L14" s="25" t="s">
        <v>35</v>
      </c>
    </row>
    <row r="15" spans="1:12" x14ac:dyDescent="0.45">
      <c r="A15" s="10">
        <v>39507</v>
      </c>
      <c r="B15" s="14">
        <v>-7.6388999999999999E-2</v>
      </c>
      <c r="C15" s="14">
        <v>-2.9600000000000001E-2</v>
      </c>
      <c r="D15" s="14">
        <f t="shared" si="0"/>
        <v>-8.1389000000000003E-2</v>
      </c>
      <c r="E15" s="14">
        <f t="shared" si="1"/>
        <v>-3.4599999999999999E-2</v>
      </c>
      <c r="G15" t="s">
        <v>27</v>
      </c>
      <c r="H15" s="3">
        <v>1</v>
      </c>
      <c r="I15" s="16">
        <v>0.32816606339182208</v>
      </c>
      <c r="J15" s="16">
        <v>0.32816606339182208</v>
      </c>
      <c r="K15" s="16">
        <v>57.223718994452291</v>
      </c>
      <c r="L15" s="16">
        <v>9.3319706857481614E-12</v>
      </c>
    </row>
    <row r="16" spans="1:12" x14ac:dyDescent="0.45">
      <c r="A16" s="10">
        <v>39538</v>
      </c>
      <c r="B16" s="14">
        <v>0.147816</v>
      </c>
      <c r="C16" s="14">
        <v>-7.6E-3</v>
      </c>
      <c r="D16" s="14">
        <f t="shared" si="0"/>
        <v>0.142816</v>
      </c>
      <c r="E16" s="14">
        <f t="shared" si="1"/>
        <v>-1.26E-2</v>
      </c>
      <c r="G16" t="s">
        <v>28</v>
      </c>
      <c r="H16" s="3">
        <v>118</v>
      </c>
      <c r="I16" s="16">
        <v>0.67670532710376918</v>
      </c>
      <c r="J16" s="16">
        <v>5.7347909076590608E-3</v>
      </c>
      <c r="K16" s="16"/>
      <c r="L16" s="16"/>
    </row>
    <row r="17" spans="1:13" ht="14.65" thickBot="1" x14ac:dyDescent="0.5">
      <c r="A17" s="10">
        <v>39568</v>
      </c>
      <c r="B17" s="14">
        <v>0.21219499999999999</v>
      </c>
      <c r="C17" s="14">
        <v>4.7799999999999995E-2</v>
      </c>
      <c r="D17" s="14">
        <f t="shared" si="0"/>
        <v>0.20719499999999999</v>
      </c>
      <c r="E17" s="14">
        <f t="shared" si="1"/>
        <v>4.2799999999999998E-2</v>
      </c>
      <c r="G17" s="24" t="s">
        <v>29</v>
      </c>
      <c r="H17" s="29">
        <v>119</v>
      </c>
      <c r="I17" s="30">
        <v>1.0048713904955913</v>
      </c>
      <c r="J17" s="30"/>
      <c r="K17" s="30"/>
      <c r="L17" s="30"/>
    </row>
    <row r="18" spans="1:13" ht="14.65" thickBot="1" x14ac:dyDescent="0.5">
      <c r="A18" s="10">
        <v>39598</v>
      </c>
      <c r="B18" s="14">
        <v>8.5082000000000005E-2</v>
      </c>
      <c r="C18" s="14">
        <v>2.0400000000000001E-2</v>
      </c>
      <c r="D18" s="14">
        <f t="shared" si="0"/>
        <v>8.0082E-2</v>
      </c>
      <c r="E18" s="14">
        <f t="shared" si="1"/>
        <v>1.54E-2</v>
      </c>
    </row>
    <row r="19" spans="1:13" x14ac:dyDescent="0.45">
      <c r="A19" s="10">
        <v>39629</v>
      </c>
      <c r="B19" s="14">
        <v>-0.112901</v>
      </c>
      <c r="C19" s="14">
        <v>-8.2699999999999996E-2</v>
      </c>
      <c r="D19" s="14">
        <f t="shared" si="0"/>
        <v>-0.11790100000000001</v>
      </c>
      <c r="E19" s="14">
        <f t="shared" si="1"/>
        <v>-8.77E-2</v>
      </c>
      <c r="G19" s="25"/>
      <c r="H19" s="25" t="s">
        <v>36</v>
      </c>
      <c r="I19" s="25" t="s">
        <v>24</v>
      </c>
      <c r="J19" s="25" t="s">
        <v>37</v>
      </c>
      <c r="K19" s="25" t="s">
        <v>38</v>
      </c>
      <c r="L19" s="25" t="s">
        <v>39</v>
      </c>
      <c r="M19" s="25" t="s">
        <v>40</v>
      </c>
    </row>
    <row r="20" spans="1:13" x14ac:dyDescent="0.45">
      <c r="A20" s="10">
        <v>39660</v>
      </c>
      <c r="B20" s="14">
        <v>-5.0705E-2</v>
      </c>
      <c r="C20" s="14">
        <v>-6.1999999999999998E-3</v>
      </c>
      <c r="D20" s="14">
        <f t="shared" si="0"/>
        <v>-5.5704999999999998E-2</v>
      </c>
      <c r="E20" s="14">
        <f t="shared" si="1"/>
        <v>-1.12E-2</v>
      </c>
      <c r="G20" t="s">
        <v>30</v>
      </c>
      <c r="H20" s="16">
        <v>1.6890793440260364E-2</v>
      </c>
      <c r="I20" s="16">
        <v>6.9192325555975254E-3</v>
      </c>
      <c r="J20" s="16">
        <v>2.4411368319447564</v>
      </c>
      <c r="K20" s="16">
        <v>1.6126043173833253E-2</v>
      </c>
      <c r="L20" s="16">
        <v>3.1888292241444814E-3</v>
      </c>
      <c r="M20" s="16">
        <v>3.0592757656376247E-2</v>
      </c>
    </row>
    <row r="21" spans="1:13" ht="14.65" thickBot="1" x14ac:dyDescent="0.5">
      <c r="A21" s="10">
        <v>39689</v>
      </c>
      <c r="B21" s="14">
        <v>6.6561999999999996E-2</v>
      </c>
      <c r="C21" s="14">
        <v>1.66E-2</v>
      </c>
      <c r="D21" s="14">
        <f t="shared" si="0"/>
        <v>6.1561999999999999E-2</v>
      </c>
      <c r="E21" s="14">
        <f t="shared" si="1"/>
        <v>1.1599999999999999E-2</v>
      </c>
      <c r="G21" s="24" t="s">
        <v>18</v>
      </c>
      <c r="H21" s="31">
        <v>1.1614925203875834</v>
      </c>
      <c r="I21" s="30">
        <v>0.15354241874853788</v>
      </c>
      <c r="J21" s="30">
        <v>7.5646360781238107</v>
      </c>
      <c r="K21" s="30">
        <v>9.3319706857477882E-12</v>
      </c>
      <c r="L21" s="30">
        <v>0.85743672945360383</v>
      </c>
      <c r="M21" s="30">
        <v>1.465548311321563</v>
      </c>
    </row>
    <row r="22" spans="1:13" x14ac:dyDescent="0.45">
      <c r="A22" s="10">
        <v>39721</v>
      </c>
      <c r="B22" s="14">
        <v>-0.32955800000000002</v>
      </c>
      <c r="C22" s="14">
        <v>-9.0899999999999995E-2</v>
      </c>
      <c r="D22" s="14">
        <f t="shared" si="0"/>
        <v>-0.33455800000000002</v>
      </c>
      <c r="E22" s="14">
        <f t="shared" si="1"/>
        <v>-9.5899999999999999E-2</v>
      </c>
    </row>
    <row r="23" spans="1:13" x14ac:dyDescent="0.45">
      <c r="A23" s="10">
        <v>39752</v>
      </c>
      <c r="B23" s="14">
        <v>-5.3405000000000001E-2</v>
      </c>
      <c r="C23" s="14">
        <v>-0.17150000000000001</v>
      </c>
      <c r="D23" s="14">
        <f t="shared" si="0"/>
        <v>-5.8404999999999999E-2</v>
      </c>
      <c r="E23" s="14">
        <f t="shared" si="1"/>
        <v>-0.17650000000000002</v>
      </c>
    </row>
    <row r="24" spans="1:13" x14ac:dyDescent="0.45">
      <c r="A24" s="10">
        <v>39780</v>
      </c>
      <c r="B24" s="14">
        <v>-0.13867499999999999</v>
      </c>
      <c r="C24" s="14">
        <v>-7.8299999999999995E-2</v>
      </c>
      <c r="D24" s="14">
        <f t="shared" si="0"/>
        <v>-0.143675</v>
      </c>
      <c r="E24" s="14">
        <f t="shared" si="1"/>
        <v>-8.3299999999999999E-2</v>
      </c>
    </row>
    <row r="25" spans="1:13" x14ac:dyDescent="0.45">
      <c r="A25" s="10">
        <v>39813</v>
      </c>
      <c r="B25" s="14">
        <v>-7.8990000000000005E-2</v>
      </c>
      <c r="C25" s="14">
        <v>1.7399999999999999E-2</v>
      </c>
      <c r="D25" s="14">
        <f t="shared" si="0"/>
        <v>-8.3990000000000009E-2</v>
      </c>
      <c r="E25" s="14">
        <f t="shared" si="1"/>
        <v>1.2399999999999998E-2</v>
      </c>
    </row>
    <row r="26" spans="1:13" x14ac:dyDescent="0.45">
      <c r="A26" s="10">
        <v>39843</v>
      </c>
      <c r="B26" s="14">
        <v>5.6004999999999999E-2</v>
      </c>
      <c r="C26" s="14">
        <v>-8.1199999999999994E-2</v>
      </c>
      <c r="D26" s="14">
        <f t="shared" si="0"/>
        <v>5.1005000000000002E-2</v>
      </c>
      <c r="E26" s="14">
        <f t="shared" si="1"/>
        <v>-8.6199999999999999E-2</v>
      </c>
    </row>
    <row r="27" spans="1:13" x14ac:dyDescent="0.45">
      <c r="A27" s="10">
        <v>39871</v>
      </c>
      <c r="B27" s="14">
        <v>-9.0980000000000002E-3</v>
      </c>
      <c r="C27" s="14">
        <v>-0.1009</v>
      </c>
      <c r="D27" s="14">
        <f t="shared" si="0"/>
        <v>-1.4097999999999999E-2</v>
      </c>
      <c r="E27" s="14">
        <f t="shared" si="1"/>
        <v>-0.10590000000000001</v>
      </c>
    </row>
    <row r="28" spans="1:13" x14ac:dyDescent="0.45">
      <c r="A28" s="10">
        <v>39903</v>
      </c>
      <c r="B28" s="14">
        <v>0.17702399999999999</v>
      </c>
      <c r="C28" s="14">
        <v>8.9699999999999988E-2</v>
      </c>
      <c r="D28" s="14">
        <f t="shared" si="0"/>
        <v>0.17202399999999998</v>
      </c>
      <c r="E28" s="14">
        <f t="shared" si="1"/>
        <v>8.4699999999999984E-2</v>
      </c>
    </row>
    <row r="29" spans="1:13" x14ac:dyDescent="0.45">
      <c r="A29" s="10">
        <v>39933</v>
      </c>
      <c r="B29" s="14">
        <v>0.19701299999999999</v>
      </c>
      <c r="C29" s="14">
        <v>0.10189999999999999</v>
      </c>
      <c r="D29" s="14">
        <f t="shared" si="0"/>
        <v>0.19201299999999999</v>
      </c>
      <c r="E29" s="14">
        <f t="shared" si="1"/>
        <v>9.6899999999999986E-2</v>
      </c>
    </row>
    <row r="30" spans="1:13" x14ac:dyDescent="0.45">
      <c r="A30" s="10">
        <v>39962</v>
      </c>
      <c r="B30" s="14">
        <v>7.9312999999999995E-2</v>
      </c>
      <c r="C30" s="14">
        <v>5.21E-2</v>
      </c>
      <c r="D30" s="14">
        <f t="shared" si="0"/>
        <v>7.431299999999999E-2</v>
      </c>
      <c r="E30" s="14">
        <f t="shared" si="1"/>
        <v>4.7100000000000003E-2</v>
      </c>
    </row>
    <row r="31" spans="1:13" x14ac:dyDescent="0.45">
      <c r="A31" s="10">
        <v>39994</v>
      </c>
      <c r="B31" s="14">
        <v>4.8744999999999997E-2</v>
      </c>
      <c r="C31" s="14">
        <v>4.4000000000000003E-3</v>
      </c>
      <c r="D31" s="14">
        <f t="shared" si="0"/>
        <v>4.3744999999999999E-2</v>
      </c>
      <c r="E31" s="14">
        <f t="shared" si="1"/>
        <v>-5.9999999999999984E-4</v>
      </c>
    </row>
    <row r="32" spans="1:13" x14ac:dyDescent="0.45">
      <c r="A32" s="10">
        <v>40025</v>
      </c>
      <c r="B32" s="14">
        <v>0.14716000000000001</v>
      </c>
      <c r="C32" s="14">
        <v>7.7299999999999994E-2</v>
      </c>
      <c r="D32" s="14">
        <f t="shared" si="0"/>
        <v>0.14216000000000001</v>
      </c>
      <c r="E32" s="14">
        <f t="shared" si="1"/>
        <v>7.2299999999999989E-2</v>
      </c>
    </row>
    <row r="33" spans="1:5" x14ac:dyDescent="0.45">
      <c r="A33" s="10">
        <v>40056</v>
      </c>
      <c r="B33" s="14">
        <v>2.9499999999999998E-2</v>
      </c>
      <c r="C33" s="14">
        <v>3.3399999999999999E-2</v>
      </c>
      <c r="D33" s="14">
        <f t="shared" si="0"/>
        <v>2.4499999999999997E-2</v>
      </c>
      <c r="E33" s="14">
        <f t="shared" si="1"/>
        <v>2.8399999999999998E-2</v>
      </c>
    </row>
    <row r="34" spans="1:5" x14ac:dyDescent="0.45">
      <c r="A34" s="10">
        <v>40086</v>
      </c>
      <c r="B34" s="14">
        <v>0.101896</v>
      </c>
      <c r="C34" s="14">
        <v>4.0899999999999999E-2</v>
      </c>
      <c r="D34" s="14">
        <f t="shared" si="0"/>
        <v>9.6895999999999996E-2</v>
      </c>
      <c r="E34" s="14">
        <f t="shared" si="1"/>
        <v>3.5900000000000001E-2</v>
      </c>
    </row>
    <row r="35" spans="1:5" x14ac:dyDescent="0.45">
      <c r="A35" s="10">
        <v>40116</v>
      </c>
      <c r="B35" s="14">
        <v>1.6995E-2</v>
      </c>
      <c r="C35" s="14">
        <v>-2.5899999999999999E-2</v>
      </c>
      <c r="D35" s="14">
        <f t="shared" si="0"/>
        <v>1.1994999999999999E-2</v>
      </c>
      <c r="E35" s="14">
        <f t="shared" si="1"/>
        <v>-3.09E-2</v>
      </c>
    </row>
    <row r="36" spans="1:5" x14ac:dyDescent="0.45">
      <c r="A36" s="10">
        <v>40147</v>
      </c>
      <c r="B36" s="14">
        <v>6.0531000000000001E-2</v>
      </c>
      <c r="C36" s="14">
        <v>5.5599999999999997E-2</v>
      </c>
      <c r="D36" s="14">
        <f t="shared" si="0"/>
        <v>5.5531000000000004E-2</v>
      </c>
      <c r="E36" s="14">
        <f t="shared" si="1"/>
        <v>5.0599999999999999E-2</v>
      </c>
    </row>
    <row r="37" spans="1:5" x14ac:dyDescent="0.45">
      <c r="A37" s="10">
        <v>40178</v>
      </c>
      <c r="B37" s="14">
        <v>5.4134000000000002E-2</v>
      </c>
      <c r="C37" s="14">
        <v>2.76E-2</v>
      </c>
      <c r="D37" s="14">
        <f t="shared" si="0"/>
        <v>4.9134000000000004E-2</v>
      </c>
      <c r="E37" s="14">
        <f t="shared" si="1"/>
        <v>2.2599999999999999E-2</v>
      </c>
    </row>
    <row r="38" spans="1:5" x14ac:dyDescent="0.45">
      <c r="A38" s="10">
        <v>40207</v>
      </c>
      <c r="B38" s="14">
        <v>-8.8591000000000003E-2</v>
      </c>
      <c r="C38" s="14">
        <v>-3.3599999999999998E-2</v>
      </c>
      <c r="D38" s="14">
        <f t="shared" si="0"/>
        <v>-9.3591000000000008E-2</v>
      </c>
      <c r="E38" s="14">
        <f t="shared" si="1"/>
        <v>-3.8599999999999995E-2</v>
      </c>
    </row>
    <row r="39" spans="1:5" x14ac:dyDescent="0.45">
      <c r="A39" s="10">
        <v>40235</v>
      </c>
      <c r="B39" s="14">
        <v>6.5379999999999994E-2</v>
      </c>
      <c r="C39" s="14">
        <v>3.4000000000000002E-2</v>
      </c>
      <c r="D39" s="14">
        <f t="shared" si="0"/>
        <v>6.0379999999999996E-2</v>
      </c>
      <c r="E39" s="14">
        <f t="shared" si="1"/>
        <v>2.9000000000000001E-2</v>
      </c>
    </row>
    <row r="40" spans="1:5" x14ac:dyDescent="0.45">
      <c r="A40" s="10">
        <v>40268</v>
      </c>
      <c r="B40" s="14">
        <v>0.14846999999999999</v>
      </c>
      <c r="C40" s="14">
        <v>6.3199999999999992E-2</v>
      </c>
      <c r="D40" s="14">
        <f t="shared" si="0"/>
        <v>0.14346999999999999</v>
      </c>
      <c r="E40" s="14">
        <f t="shared" si="1"/>
        <v>5.8199999999999995E-2</v>
      </c>
    </row>
    <row r="41" spans="1:5" x14ac:dyDescent="0.45">
      <c r="A41" s="10">
        <v>40298</v>
      </c>
      <c r="B41" s="14">
        <v>0.11102099999999999</v>
      </c>
      <c r="C41" s="14">
        <v>2.0099999999999996E-2</v>
      </c>
      <c r="D41" s="14">
        <f t="shared" si="0"/>
        <v>0.10602099999999999</v>
      </c>
      <c r="E41" s="14">
        <f t="shared" si="1"/>
        <v>1.5099999999999995E-2</v>
      </c>
    </row>
    <row r="42" spans="1:5" x14ac:dyDescent="0.45">
      <c r="A42" s="10">
        <v>40326</v>
      </c>
      <c r="B42" s="14">
        <v>-1.6125E-2</v>
      </c>
      <c r="C42" s="14">
        <v>-7.8799999999999995E-2</v>
      </c>
      <c r="D42" s="14">
        <f t="shared" si="0"/>
        <v>-2.1125000000000001E-2</v>
      </c>
      <c r="E42" s="14">
        <f t="shared" si="1"/>
        <v>-8.3799999999999999E-2</v>
      </c>
    </row>
    <row r="43" spans="1:5" x14ac:dyDescent="0.45">
      <c r="A43" s="10">
        <v>40359</v>
      </c>
      <c r="B43" s="14">
        <v>-2.0826999999999998E-2</v>
      </c>
      <c r="C43" s="14">
        <v>-5.5600000000000004E-2</v>
      </c>
      <c r="D43" s="14">
        <f t="shared" si="0"/>
        <v>-2.5826999999999999E-2</v>
      </c>
      <c r="E43" s="14">
        <f t="shared" si="1"/>
        <v>-6.0600000000000001E-2</v>
      </c>
    </row>
    <row r="44" spans="1:5" x14ac:dyDescent="0.45">
      <c r="A44" s="10">
        <v>40389</v>
      </c>
      <c r="B44" s="14">
        <v>2.2741000000000001E-2</v>
      </c>
      <c r="C44" s="14">
        <v>6.9399999999999989E-2</v>
      </c>
      <c r="D44" s="14">
        <f t="shared" si="0"/>
        <v>1.7741E-2</v>
      </c>
      <c r="E44" s="14">
        <f t="shared" si="1"/>
        <v>6.4399999999999985E-2</v>
      </c>
    </row>
    <row r="45" spans="1:5" x14ac:dyDescent="0.45">
      <c r="A45" s="10">
        <v>40421</v>
      </c>
      <c r="B45" s="14">
        <v>-5.5004999999999998E-2</v>
      </c>
      <c r="C45" s="14">
        <v>-4.7599999999999996E-2</v>
      </c>
      <c r="D45" s="14">
        <f t="shared" si="0"/>
        <v>-6.0004999999999996E-2</v>
      </c>
      <c r="E45" s="14">
        <f t="shared" si="1"/>
        <v>-5.2599999999999994E-2</v>
      </c>
    </row>
    <row r="46" spans="1:5" x14ac:dyDescent="0.45">
      <c r="A46" s="10">
        <v>40451</v>
      </c>
      <c r="B46" s="14">
        <v>0.167215</v>
      </c>
      <c r="C46" s="14">
        <v>9.5499999999999988E-2</v>
      </c>
      <c r="D46" s="14">
        <f t="shared" si="0"/>
        <v>0.162215</v>
      </c>
      <c r="E46" s="14">
        <f t="shared" si="1"/>
        <v>9.0499999999999983E-2</v>
      </c>
    </row>
    <row r="47" spans="1:5" x14ac:dyDescent="0.45">
      <c r="A47" s="10">
        <v>40480</v>
      </c>
      <c r="B47" s="14">
        <v>6.0722999999999999E-2</v>
      </c>
      <c r="C47" s="14">
        <v>3.8899999999999997E-2</v>
      </c>
      <c r="D47" s="14">
        <f t="shared" si="0"/>
        <v>5.5723000000000002E-2</v>
      </c>
      <c r="E47" s="14">
        <f t="shared" si="1"/>
        <v>3.39E-2</v>
      </c>
    </row>
    <row r="48" spans="1:5" x14ac:dyDescent="0.45">
      <c r="A48" s="10">
        <v>40512</v>
      </c>
      <c r="B48" s="14">
        <v>3.3790000000000001E-2</v>
      </c>
      <c r="C48" s="14">
        <v>6.0999999999999995E-3</v>
      </c>
      <c r="D48" s="14">
        <f t="shared" si="0"/>
        <v>2.879E-2</v>
      </c>
      <c r="E48" s="14">
        <f t="shared" si="1"/>
        <v>1.0999999999999994E-3</v>
      </c>
    </row>
    <row r="49" spans="1:5" x14ac:dyDescent="0.45">
      <c r="A49" s="10">
        <v>40543</v>
      </c>
      <c r="B49" s="14">
        <v>3.6670000000000001E-2</v>
      </c>
      <c r="C49" s="14">
        <v>6.83E-2</v>
      </c>
      <c r="D49" s="14">
        <f t="shared" si="0"/>
        <v>3.1670000000000004E-2</v>
      </c>
      <c r="E49" s="14">
        <f t="shared" si="1"/>
        <v>6.3299999999999995E-2</v>
      </c>
    </row>
    <row r="50" spans="1:5" x14ac:dyDescent="0.45">
      <c r="A50" s="10">
        <v>40574</v>
      </c>
      <c r="B50" s="14">
        <v>5.1958999999999998E-2</v>
      </c>
      <c r="C50" s="14">
        <v>0.02</v>
      </c>
      <c r="D50" s="14">
        <f t="shared" si="0"/>
        <v>4.6959000000000001E-2</v>
      </c>
      <c r="E50" s="14">
        <f t="shared" si="1"/>
        <v>1.4999999999999999E-2</v>
      </c>
    </row>
    <row r="51" spans="1:5" x14ac:dyDescent="0.45">
      <c r="A51" s="10">
        <v>40602</v>
      </c>
      <c r="B51" s="14">
        <v>4.0934999999999999E-2</v>
      </c>
      <c r="C51" s="14">
        <v>3.5000000000000003E-2</v>
      </c>
      <c r="D51" s="14">
        <f t="shared" si="0"/>
        <v>3.5935000000000002E-2</v>
      </c>
      <c r="E51" s="14">
        <f t="shared" si="1"/>
        <v>3.0000000000000002E-2</v>
      </c>
    </row>
    <row r="52" spans="1:5" x14ac:dyDescent="0.45">
      <c r="A52" s="10">
        <v>40633</v>
      </c>
      <c r="B52" s="14">
        <v>-1.3313999999999999E-2</v>
      </c>
      <c r="C52" s="14">
        <v>4.7000000000000002E-3</v>
      </c>
      <c r="D52" s="14">
        <f t="shared" si="0"/>
        <v>-1.8314E-2</v>
      </c>
      <c r="E52" s="14">
        <f t="shared" si="1"/>
        <v>-2.9999999999999992E-4</v>
      </c>
    </row>
    <row r="53" spans="1:5" x14ac:dyDescent="0.45">
      <c r="A53" s="10">
        <v>40662</v>
      </c>
      <c r="B53" s="14">
        <v>4.6560000000000004E-3</v>
      </c>
      <c r="C53" s="14">
        <v>2.8999999999999998E-2</v>
      </c>
      <c r="D53" s="14">
        <f t="shared" si="0"/>
        <v>-3.4399999999999969E-4</v>
      </c>
      <c r="E53" s="14">
        <f t="shared" si="1"/>
        <v>2.3999999999999997E-2</v>
      </c>
    </row>
    <row r="54" spans="1:5" x14ac:dyDescent="0.45">
      <c r="A54" s="10">
        <v>40694</v>
      </c>
      <c r="B54" s="14">
        <v>-6.5690000000000002E-3</v>
      </c>
      <c r="C54" s="14">
        <v>-1.2699999999999999E-2</v>
      </c>
      <c r="D54" s="14">
        <f t="shared" si="0"/>
        <v>-1.1568999999999999E-2</v>
      </c>
      <c r="E54" s="14">
        <f t="shared" si="1"/>
        <v>-1.77E-2</v>
      </c>
    </row>
    <row r="55" spans="1:5" x14ac:dyDescent="0.45">
      <c r="A55" s="10">
        <v>40724</v>
      </c>
      <c r="B55" s="14">
        <v>-3.4959999999999998E-2</v>
      </c>
      <c r="C55" s="14">
        <v>-1.7500000000000002E-2</v>
      </c>
      <c r="D55" s="14">
        <f t="shared" si="0"/>
        <v>-3.9959999999999996E-2</v>
      </c>
      <c r="E55" s="14">
        <f t="shared" si="1"/>
        <v>-2.2500000000000003E-2</v>
      </c>
    </row>
    <row r="56" spans="1:5" x14ac:dyDescent="0.45">
      <c r="A56" s="10">
        <v>40753</v>
      </c>
      <c r="B56" s="14">
        <v>0.16328500000000001</v>
      </c>
      <c r="C56" s="14">
        <v>-2.35E-2</v>
      </c>
      <c r="D56" s="14">
        <f t="shared" si="0"/>
        <v>0.15828500000000001</v>
      </c>
      <c r="E56" s="14">
        <f t="shared" si="1"/>
        <v>-2.8500000000000001E-2</v>
      </c>
    </row>
    <row r="57" spans="1:5" x14ac:dyDescent="0.45">
      <c r="A57" s="10">
        <v>40786</v>
      </c>
      <c r="B57" s="14">
        <v>-1.4468999999999999E-2</v>
      </c>
      <c r="C57" s="14">
        <v>-5.9800000000000006E-2</v>
      </c>
      <c r="D57" s="14">
        <f t="shared" si="0"/>
        <v>-1.9469E-2</v>
      </c>
      <c r="E57" s="14">
        <f t="shared" si="1"/>
        <v>-6.480000000000001E-2</v>
      </c>
    </row>
    <row r="58" spans="1:5" x14ac:dyDescent="0.45">
      <c r="A58" s="10">
        <v>40816</v>
      </c>
      <c r="B58" s="14">
        <v>-9.1210000000000006E-3</v>
      </c>
      <c r="C58" s="14">
        <v>-7.5899999999999995E-2</v>
      </c>
      <c r="D58" s="14">
        <f t="shared" si="0"/>
        <v>-1.4121000000000002E-2</v>
      </c>
      <c r="E58" s="14">
        <f t="shared" si="1"/>
        <v>-8.09E-2</v>
      </c>
    </row>
    <row r="59" spans="1:5" x14ac:dyDescent="0.45">
      <c r="A59" s="10">
        <v>40847</v>
      </c>
      <c r="B59" s="14">
        <v>6.1523000000000001E-2</v>
      </c>
      <c r="C59" s="14">
        <v>0.11349999999999999</v>
      </c>
      <c r="D59" s="14">
        <f t="shared" si="0"/>
        <v>5.6523000000000004E-2</v>
      </c>
      <c r="E59" s="14">
        <f t="shared" si="1"/>
        <v>0.10849999999999999</v>
      </c>
    </row>
    <row r="60" spans="1:5" x14ac:dyDescent="0.45">
      <c r="A60" s="10">
        <v>40877</v>
      </c>
      <c r="B60" s="14">
        <v>-5.5782999999999999E-2</v>
      </c>
      <c r="C60" s="14">
        <v>-2.8000000000000004E-3</v>
      </c>
      <c r="D60" s="14">
        <f t="shared" si="0"/>
        <v>-6.0782999999999997E-2</v>
      </c>
      <c r="E60" s="14">
        <f t="shared" si="1"/>
        <v>-7.8000000000000005E-3</v>
      </c>
    </row>
    <row r="61" spans="1:5" x14ac:dyDescent="0.45">
      <c r="A61" s="10">
        <v>40907</v>
      </c>
      <c r="B61" s="14">
        <v>5.9655E-2</v>
      </c>
      <c r="C61" s="14">
        <v>7.4000000000000003E-3</v>
      </c>
      <c r="D61" s="14">
        <f t="shared" si="0"/>
        <v>5.4655000000000002E-2</v>
      </c>
      <c r="E61" s="14">
        <f t="shared" si="1"/>
        <v>2.4000000000000002E-3</v>
      </c>
    </row>
    <row r="62" spans="1:5" x14ac:dyDescent="0.45">
      <c r="A62" s="10">
        <v>40939</v>
      </c>
      <c r="B62" s="14">
        <v>0.127111</v>
      </c>
      <c r="C62" s="14">
        <v>5.0499999999999996E-2</v>
      </c>
      <c r="D62" s="14">
        <f t="shared" si="0"/>
        <v>0.122111</v>
      </c>
      <c r="E62" s="14">
        <f t="shared" si="1"/>
        <v>4.5499999999999999E-2</v>
      </c>
    </row>
    <row r="63" spans="1:5" x14ac:dyDescent="0.45">
      <c r="A63" s="10">
        <v>40968</v>
      </c>
      <c r="B63" s="14">
        <v>0.18831100000000001</v>
      </c>
      <c r="C63" s="14">
        <v>4.4199999999999996E-2</v>
      </c>
      <c r="D63" s="14">
        <f t="shared" si="0"/>
        <v>0.183311</v>
      </c>
      <c r="E63" s="14">
        <f t="shared" si="1"/>
        <v>3.9199999999999999E-2</v>
      </c>
    </row>
    <row r="64" spans="1:5" x14ac:dyDescent="0.45">
      <c r="A64" s="10">
        <v>40998</v>
      </c>
      <c r="B64" s="14">
        <v>0.105284</v>
      </c>
      <c r="C64" s="14">
        <v>3.1099999999999999E-2</v>
      </c>
      <c r="D64" s="14">
        <f t="shared" si="0"/>
        <v>0.100284</v>
      </c>
      <c r="E64" s="14">
        <f t="shared" si="1"/>
        <v>2.6099999999999998E-2</v>
      </c>
    </row>
    <row r="65" spans="1:5" x14ac:dyDescent="0.45">
      <c r="A65" s="10">
        <v>41029</v>
      </c>
      <c r="B65" s="14">
        <v>-2.5968999999999999E-2</v>
      </c>
      <c r="C65" s="14">
        <v>-8.5000000000000006E-3</v>
      </c>
      <c r="D65" s="14">
        <f t="shared" si="0"/>
        <v>-3.0969E-2</v>
      </c>
      <c r="E65" s="14">
        <f t="shared" si="1"/>
        <v>-1.3500000000000002E-2</v>
      </c>
    </row>
    <row r="66" spans="1:5" x14ac:dyDescent="0.45">
      <c r="A66" s="10">
        <v>41060</v>
      </c>
      <c r="B66" s="14">
        <v>-1.0702E-2</v>
      </c>
      <c r="C66" s="14">
        <v>-6.1800000000000008E-2</v>
      </c>
      <c r="D66" s="14">
        <f t="shared" si="0"/>
        <v>-1.5702000000000001E-2</v>
      </c>
      <c r="E66" s="14">
        <f t="shared" si="1"/>
        <v>-6.6800000000000012E-2</v>
      </c>
    </row>
    <row r="67" spans="1:5" x14ac:dyDescent="0.45">
      <c r="A67" s="10">
        <v>41089</v>
      </c>
      <c r="B67" s="14">
        <v>1.0853E-2</v>
      </c>
      <c r="C67" s="14">
        <v>3.8900000000000004E-2</v>
      </c>
      <c r="D67" s="14">
        <f t="shared" ref="D67:D121" si="2">B67-0.5%</f>
        <v>5.8529999999999997E-3</v>
      </c>
      <c r="E67" s="14">
        <f t="shared" ref="E67:E121" si="3">C67-0.5%</f>
        <v>3.3900000000000007E-2</v>
      </c>
    </row>
    <row r="68" spans="1:5" x14ac:dyDescent="0.45">
      <c r="A68" s="10">
        <v>41121</v>
      </c>
      <c r="B68" s="14">
        <v>4.5822000000000002E-2</v>
      </c>
      <c r="C68" s="14">
        <v>7.9000000000000008E-3</v>
      </c>
      <c r="D68" s="14">
        <f t="shared" si="2"/>
        <v>4.0822000000000004E-2</v>
      </c>
      <c r="E68" s="14">
        <f t="shared" si="3"/>
        <v>2.9000000000000007E-3</v>
      </c>
    </row>
    <row r="69" spans="1:5" x14ac:dyDescent="0.45">
      <c r="A69" s="10">
        <v>41152</v>
      </c>
      <c r="B69" s="14">
        <v>9.3538999999999997E-2</v>
      </c>
      <c r="C69" s="14">
        <v>2.5599999999999998E-2</v>
      </c>
      <c r="D69" s="14">
        <f t="shared" si="2"/>
        <v>8.8538999999999993E-2</v>
      </c>
      <c r="E69" s="14">
        <f t="shared" si="3"/>
        <v>2.0599999999999997E-2</v>
      </c>
    </row>
    <row r="70" spans="1:5" x14ac:dyDescent="0.45">
      <c r="A70" s="10">
        <v>41180</v>
      </c>
      <c r="B70" s="14">
        <v>2.8029999999999999E-3</v>
      </c>
      <c r="C70" s="14">
        <v>2.7399999999999997E-2</v>
      </c>
      <c r="D70" s="14">
        <f t="shared" si="2"/>
        <v>-2.1970000000000002E-3</v>
      </c>
      <c r="E70" s="14">
        <f t="shared" si="3"/>
        <v>2.2399999999999996E-2</v>
      </c>
    </row>
    <row r="71" spans="1:5" x14ac:dyDescent="0.45">
      <c r="A71" s="10">
        <v>41213</v>
      </c>
      <c r="B71" s="14">
        <v>-0.10760699999999999</v>
      </c>
      <c r="C71" s="14">
        <v>-1.7500000000000002E-2</v>
      </c>
      <c r="D71" s="14">
        <f t="shared" si="2"/>
        <v>-0.112607</v>
      </c>
      <c r="E71" s="14">
        <f t="shared" si="3"/>
        <v>-2.2500000000000003E-2</v>
      </c>
    </row>
    <row r="72" spans="1:5" x14ac:dyDescent="0.45">
      <c r="A72" s="10">
        <v>41243</v>
      </c>
      <c r="B72" s="14">
        <v>-1.2413E-2</v>
      </c>
      <c r="C72" s="14">
        <v>7.9000000000000008E-3</v>
      </c>
      <c r="D72" s="14">
        <f t="shared" si="2"/>
        <v>-1.7413000000000001E-2</v>
      </c>
      <c r="E72" s="14">
        <f t="shared" si="3"/>
        <v>2.9000000000000007E-3</v>
      </c>
    </row>
    <row r="73" spans="1:5" x14ac:dyDescent="0.45">
      <c r="A73" s="10">
        <v>41274</v>
      </c>
      <c r="B73" s="14">
        <v>-9.0737999999999999E-2</v>
      </c>
      <c r="C73" s="14">
        <v>1.1899999999999999E-2</v>
      </c>
      <c r="D73" s="14">
        <f t="shared" si="2"/>
        <v>-9.5738000000000004E-2</v>
      </c>
      <c r="E73" s="14">
        <f t="shared" si="3"/>
        <v>6.899999999999999E-3</v>
      </c>
    </row>
    <row r="74" spans="1:5" x14ac:dyDescent="0.45">
      <c r="A74" s="10">
        <v>41305</v>
      </c>
      <c r="B74" s="14">
        <v>-0.144094</v>
      </c>
      <c r="C74" s="14">
        <v>5.57E-2</v>
      </c>
      <c r="D74" s="14">
        <f t="shared" si="2"/>
        <v>-0.149094</v>
      </c>
      <c r="E74" s="14">
        <f t="shared" si="3"/>
        <v>5.0700000000000002E-2</v>
      </c>
    </row>
    <row r="75" spans="1:5" x14ac:dyDescent="0.45">
      <c r="A75" s="10">
        <v>41333</v>
      </c>
      <c r="B75" s="14">
        <v>-2.5115999999999999E-2</v>
      </c>
      <c r="C75" s="14">
        <v>1.29E-2</v>
      </c>
      <c r="D75" s="14">
        <f t="shared" si="2"/>
        <v>-3.0116E-2</v>
      </c>
      <c r="E75" s="14">
        <f t="shared" si="3"/>
        <v>7.9000000000000008E-3</v>
      </c>
    </row>
    <row r="76" spans="1:5" x14ac:dyDescent="0.45">
      <c r="A76" s="10">
        <v>41361</v>
      </c>
      <c r="B76" s="14">
        <v>2.8549999999999999E-3</v>
      </c>
      <c r="C76" s="14">
        <v>4.0300000000000002E-2</v>
      </c>
      <c r="D76" s="14">
        <f t="shared" si="2"/>
        <v>-2.1450000000000002E-3</v>
      </c>
      <c r="E76" s="14">
        <f t="shared" si="3"/>
        <v>3.5300000000000005E-2</v>
      </c>
    </row>
    <row r="77" spans="1:5" x14ac:dyDescent="0.45">
      <c r="A77" s="10">
        <v>41394</v>
      </c>
      <c r="B77" s="14">
        <v>2.7099999999999997E-4</v>
      </c>
      <c r="C77" s="14">
        <v>1.55E-2</v>
      </c>
      <c r="D77" s="14">
        <f t="shared" si="2"/>
        <v>-4.7290000000000006E-3</v>
      </c>
      <c r="E77" s="14">
        <f t="shared" si="3"/>
        <v>1.0499999999999999E-2</v>
      </c>
    </row>
    <row r="78" spans="1:5" x14ac:dyDescent="0.45">
      <c r="A78" s="10">
        <v>41425</v>
      </c>
      <c r="B78" s="14">
        <v>2.2596000000000002E-2</v>
      </c>
      <c r="C78" s="14">
        <v>2.7999999999999997E-2</v>
      </c>
      <c r="D78" s="14">
        <f t="shared" si="2"/>
        <v>1.7596000000000001E-2</v>
      </c>
      <c r="E78" s="14">
        <f t="shared" si="3"/>
        <v>2.2999999999999996E-2</v>
      </c>
    </row>
    <row r="79" spans="1:5" x14ac:dyDescent="0.45">
      <c r="A79" s="10">
        <v>41453</v>
      </c>
      <c r="B79" s="14">
        <v>-0.11830300000000001</v>
      </c>
      <c r="C79" s="14">
        <v>-1.2E-2</v>
      </c>
      <c r="D79" s="14">
        <f t="shared" si="2"/>
        <v>-0.12330300000000001</v>
      </c>
      <c r="E79" s="14">
        <f t="shared" si="3"/>
        <v>-1.7000000000000001E-2</v>
      </c>
    </row>
    <row r="80" spans="1:5" x14ac:dyDescent="0.45">
      <c r="A80" s="10">
        <v>41486</v>
      </c>
      <c r="B80" s="14">
        <v>0.14122499999999999</v>
      </c>
      <c r="C80" s="14">
        <v>5.6500000000000002E-2</v>
      </c>
      <c r="D80" s="14">
        <f t="shared" si="2"/>
        <v>0.13622499999999998</v>
      </c>
      <c r="E80" s="14">
        <f t="shared" si="3"/>
        <v>5.1500000000000004E-2</v>
      </c>
    </row>
    <row r="81" spans="1:5" x14ac:dyDescent="0.45">
      <c r="A81" s="10">
        <v>41516</v>
      </c>
      <c r="B81" s="14">
        <v>8.3389000000000005E-2</v>
      </c>
      <c r="C81" s="14">
        <v>-2.7099999999999999E-2</v>
      </c>
      <c r="D81" s="14">
        <f t="shared" si="2"/>
        <v>7.8389E-2</v>
      </c>
      <c r="E81" s="14">
        <f t="shared" si="3"/>
        <v>-3.2099999999999997E-2</v>
      </c>
    </row>
    <row r="82" spans="1:5" x14ac:dyDescent="0.45">
      <c r="A82" s="10">
        <v>41547</v>
      </c>
      <c r="B82" s="14">
        <v>-2.1481E-2</v>
      </c>
      <c r="C82" s="14">
        <v>3.7699999999999997E-2</v>
      </c>
      <c r="D82" s="14">
        <f t="shared" si="2"/>
        <v>-2.6481000000000001E-2</v>
      </c>
      <c r="E82" s="14">
        <f t="shared" si="3"/>
        <v>3.27E-2</v>
      </c>
    </row>
    <row r="83" spans="1:5" x14ac:dyDescent="0.45">
      <c r="A83" s="10">
        <v>41578</v>
      </c>
      <c r="B83" s="14">
        <v>9.6385999999999999E-2</v>
      </c>
      <c r="C83" s="14">
        <v>4.1799999999999997E-2</v>
      </c>
      <c r="D83" s="14">
        <f t="shared" si="2"/>
        <v>9.1385999999999995E-2</v>
      </c>
      <c r="E83" s="14">
        <f t="shared" si="3"/>
        <v>3.6799999999999999E-2</v>
      </c>
    </row>
    <row r="84" spans="1:5" x14ac:dyDescent="0.45">
      <c r="A84" s="10">
        <v>41607</v>
      </c>
      <c r="B84" s="14">
        <v>6.9672999999999999E-2</v>
      </c>
      <c r="C84" s="14">
        <v>3.1300000000000001E-2</v>
      </c>
      <c r="D84" s="14">
        <f t="shared" si="2"/>
        <v>6.4672999999999994E-2</v>
      </c>
      <c r="E84" s="14">
        <f t="shared" si="3"/>
        <v>2.63E-2</v>
      </c>
    </row>
    <row r="85" spans="1:5" x14ac:dyDescent="0.45">
      <c r="A85" s="10">
        <v>41639</v>
      </c>
      <c r="B85" s="14">
        <v>8.9020000000000002E-3</v>
      </c>
      <c r="C85" s="14">
        <v>2.81E-2</v>
      </c>
      <c r="D85" s="14">
        <f t="shared" si="2"/>
        <v>3.9020000000000001E-3</v>
      </c>
      <c r="E85" s="14">
        <f t="shared" si="3"/>
        <v>2.3099999999999999E-2</v>
      </c>
    </row>
    <row r="86" spans="1:5" x14ac:dyDescent="0.45">
      <c r="A86" s="10">
        <v>41670</v>
      </c>
      <c r="B86" s="14">
        <v>-0.107697</v>
      </c>
      <c r="C86" s="14">
        <v>-3.32E-2</v>
      </c>
      <c r="D86" s="14">
        <f t="shared" si="2"/>
        <v>-0.11269700000000001</v>
      </c>
      <c r="E86" s="14">
        <f t="shared" si="3"/>
        <v>-3.8199999999999998E-2</v>
      </c>
    </row>
    <row r="87" spans="1:5" x14ac:dyDescent="0.45">
      <c r="A87" s="10">
        <v>41698</v>
      </c>
      <c r="B87" s="14">
        <v>5.7311000000000001E-2</v>
      </c>
      <c r="C87" s="14">
        <v>4.6500000000000007E-2</v>
      </c>
      <c r="D87" s="14">
        <f t="shared" si="2"/>
        <v>5.2311000000000003E-2</v>
      </c>
      <c r="E87" s="14">
        <f t="shared" si="3"/>
        <v>4.1500000000000009E-2</v>
      </c>
    </row>
    <row r="88" spans="1:5" x14ac:dyDescent="0.45">
      <c r="A88" s="10">
        <v>41729</v>
      </c>
      <c r="B88" s="14">
        <v>1.9952999999999999E-2</v>
      </c>
      <c r="C88" s="14">
        <v>4.3E-3</v>
      </c>
      <c r="D88" s="14">
        <f t="shared" si="2"/>
        <v>1.4952999999999998E-2</v>
      </c>
      <c r="E88" s="14">
        <f t="shared" si="3"/>
        <v>-7.000000000000001E-4</v>
      </c>
    </row>
    <row r="89" spans="1:5" x14ac:dyDescent="0.45">
      <c r="A89" s="10">
        <v>41759</v>
      </c>
      <c r="B89" s="14">
        <v>9.9395999999999998E-2</v>
      </c>
      <c r="C89" s="14">
        <v>-1.9E-3</v>
      </c>
      <c r="D89" s="14">
        <f t="shared" si="2"/>
        <v>9.4395999999999994E-2</v>
      </c>
      <c r="E89" s="14">
        <f t="shared" si="3"/>
        <v>-6.8999999999999999E-3</v>
      </c>
    </row>
    <row r="90" spans="1:5" x14ac:dyDescent="0.45">
      <c r="A90" s="10">
        <v>41789</v>
      </c>
      <c r="B90" s="14">
        <v>7.8293000000000001E-2</v>
      </c>
      <c r="C90" s="14">
        <v>2.06E-2</v>
      </c>
      <c r="D90" s="14">
        <f t="shared" si="2"/>
        <v>7.3292999999999997E-2</v>
      </c>
      <c r="E90" s="14">
        <f t="shared" si="3"/>
        <v>1.5599999999999999E-2</v>
      </c>
    </row>
    <row r="91" spans="1:5" x14ac:dyDescent="0.45">
      <c r="A91" s="10">
        <v>41820</v>
      </c>
      <c r="B91" s="14">
        <v>2.7661999999999999E-2</v>
      </c>
      <c r="C91" s="14">
        <v>2.6099999999999998E-2</v>
      </c>
      <c r="D91" s="14">
        <f t="shared" si="2"/>
        <v>2.2661999999999998E-2</v>
      </c>
      <c r="E91" s="14">
        <f t="shared" si="3"/>
        <v>2.1099999999999997E-2</v>
      </c>
    </row>
    <row r="92" spans="1:5" x14ac:dyDescent="0.45">
      <c r="A92" s="10">
        <v>41851</v>
      </c>
      <c r="B92" s="14">
        <v>2.8731E-2</v>
      </c>
      <c r="C92" s="14">
        <v>-2.0400000000000001E-2</v>
      </c>
      <c r="D92" s="14">
        <f t="shared" si="2"/>
        <v>2.3730999999999999E-2</v>
      </c>
      <c r="E92" s="14">
        <f t="shared" si="3"/>
        <v>-2.5400000000000002E-2</v>
      </c>
    </row>
    <row r="93" spans="1:5" x14ac:dyDescent="0.45">
      <c r="A93" s="10">
        <v>41880</v>
      </c>
      <c r="B93" s="14">
        <v>7.7091999999999994E-2</v>
      </c>
      <c r="C93" s="14">
        <v>4.24E-2</v>
      </c>
      <c r="D93" s="14">
        <f t="shared" si="2"/>
        <v>7.2091999999999989E-2</v>
      </c>
      <c r="E93" s="14">
        <f t="shared" si="3"/>
        <v>3.7400000000000003E-2</v>
      </c>
    </row>
    <row r="94" spans="1:5" x14ac:dyDescent="0.45">
      <c r="A94" s="10">
        <v>41912</v>
      </c>
      <c r="B94" s="14">
        <v>-1.7073000000000001E-2</v>
      </c>
      <c r="C94" s="14">
        <v>-1.9699999999999999E-2</v>
      </c>
      <c r="D94" s="14">
        <f t="shared" si="2"/>
        <v>-2.2073000000000002E-2</v>
      </c>
      <c r="E94" s="14">
        <f t="shared" si="3"/>
        <v>-2.47E-2</v>
      </c>
    </row>
    <row r="95" spans="1:5" x14ac:dyDescent="0.45">
      <c r="A95" s="10">
        <v>41943</v>
      </c>
      <c r="B95" s="14">
        <v>7.1959999999999996E-2</v>
      </c>
      <c r="C95" s="14">
        <v>2.52E-2</v>
      </c>
      <c r="D95" s="14">
        <f t="shared" si="2"/>
        <v>6.6959999999999992E-2</v>
      </c>
      <c r="E95" s="14">
        <f t="shared" si="3"/>
        <v>2.0199999999999999E-2</v>
      </c>
    </row>
    <row r="96" spans="1:5" x14ac:dyDescent="0.45">
      <c r="A96" s="10">
        <v>41971</v>
      </c>
      <c r="B96" s="14">
        <v>0.105556</v>
      </c>
      <c r="C96" s="14">
        <v>2.5499999999999998E-2</v>
      </c>
      <c r="D96" s="14">
        <f t="shared" si="2"/>
        <v>0.10055599999999999</v>
      </c>
      <c r="E96" s="14">
        <f t="shared" si="3"/>
        <v>2.0499999999999997E-2</v>
      </c>
    </row>
    <row r="97" spans="1:5" x14ac:dyDescent="0.45">
      <c r="A97" s="10">
        <v>42004</v>
      </c>
      <c r="B97" s="14">
        <v>-7.1890999999999997E-2</v>
      </c>
      <c r="C97" s="14">
        <v>-5.9999999999999995E-4</v>
      </c>
      <c r="D97" s="14">
        <f t="shared" si="2"/>
        <v>-7.6891000000000001E-2</v>
      </c>
      <c r="E97" s="14">
        <f t="shared" si="3"/>
        <v>-5.5999999999999999E-3</v>
      </c>
    </row>
    <row r="98" spans="1:5" x14ac:dyDescent="0.45">
      <c r="A98" s="10">
        <v>42034</v>
      </c>
      <c r="B98" s="14">
        <v>6.1423999999999999E-2</v>
      </c>
      <c r="C98" s="14">
        <v>-3.1099999999999999E-2</v>
      </c>
      <c r="D98" s="14">
        <f t="shared" si="2"/>
        <v>5.6424000000000002E-2</v>
      </c>
      <c r="E98" s="14">
        <f t="shared" si="3"/>
        <v>-3.61E-2</v>
      </c>
    </row>
    <row r="99" spans="1:5" x14ac:dyDescent="0.45">
      <c r="A99" s="10">
        <v>42062</v>
      </c>
      <c r="B99" s="14">
        <v>0.10046099999999999</v>
      </c>
      <c r="C99" s="14">
        <v>6.13E-2</v>
      </c>
      <c r="D99" s="14">
        <f t="shared" si="2"/>
        <v>9.546099999999999E-2</v>
      </c>
      <c r="E99" s="14">
        <f t="shared" si="3"/>
        <v>5.6300000000000003E-2</v>
      </c>
    </row>
    <row r="100" spans="1:5" x14ac:dyDescent="0.45">
      <c r="A100" s="10">
        <v>42094</v>
      </c>
      <c r="B100" s="14">
        <v>-3.1371999999999997E-2</v>
      </c>
      <c r="C100" s="14">
        <v>-1.1200000000000002E-2</v>
      </c>
      <c r="D100" s="14">
        <f t="shared" si="2"/>
        <v>-3.6371999999999995E-2</v>
      </c>
      <c r="E100" s="14">
        <f t="shared" si="3"/>
        <v>-1.6200000000000003E-2</v>
      </c>
    </row>
    <row r="101" spans="1:5" x14ac:dyDescent="0.45">
      <c r="A101" s="10">
        <v>42124</v>
      </c>
      <c r="B101" s="14">
        <v>5.7860000000000003E-3</v>
      </c>
      <c r="C101" s="14">
        <v>5.8999999999999999E-3</v>
      </c>
      <c r="D101" s="14">
        <f t="shared" si="2"/>
        <v>7.8600000000000024E-4</v>
      </c>
      <c r="E101" s="14">
        <f t="shared" si="3"/>
        <v>8.9999999999999976E-4</v>
      </c>
    </row>
    <row r="102" spans="1:5" x14ac:dyDescent="0.45">
      <c r="A102" s="10">
        <v>42153</v>
      </c>
      <c r="B102" s="14">
        <v>4.5145999999999999E-2</v>
      </c>
      <c r="C102" s="14">
        <v>1.3600000000000001E-2</v>
      </c>
      <c r="D102" s="14">
        <f t="shared" si="2"/>
        <v>4.0146000000000001E-2</v>
      </c>
      <c r="E102" s="14">
        <f t="shared" si="3"/>
        <v>8.6E-3</v>
      </c>
    </row>
    <row r="103" spans="1:5" x14ac:dyDescent="0.45">
      <c r="A103" s="10">
        <v>42185</v>
      </c>
      <c r="B103" s="14">
        <v>-3.7266000000000001E-2</v>
      </c>
      <c r="C103" s="14">
        <v>-1.5300000000000001E-2</v>
      </c>
      <c r="D103" s="14">
        <f t="shared" si="2"/>
        <v>-4.2265999999999998E-2</v>
      </c>
      <c r="E103" s="14">
        <f t="shared" si="3"/>
        <v>-2.0300000000000002E-2</v>
      </c>
    </row>
    <row r="104" spans="1:5" x14ac:dyDescent="0.45">
      <c r="A104" s="10">
        <v>42216</v>
      </c>
      <c r="B104" s="14">
        <v>-3.2888000000000001E-2</v>
      </c>
      <c r="C104" s="14">
        <v>1.54E-2</v>
      </c>
      <c r="D104" s="14">
        <f t="shared" si="2"/>
        <v>-3.7887999999999998E-2</v>
      </c>
      <c r="E104" s="14">
        <f t="shared" si="3"/>
        <v>1.04E-2</v>
      </c>
    </row>
    <row r="105" spans="1:5" x14ac:dyDescent="0.45">
      <c r="A105" s="10">
        <v>42247</v>
      </c>
      <c r="B105" s="14">
        <v>-6.6116999999999995E-2</v>
      </c>
      <c r="C105" s="14">
        <v>-6.0400000000000002E-2</v>
      </c>
      <c r="D105" s="14">
        <f t="shared" si="2"/>
        <v>-7.1117E-2</v>
      </c>
      <c r="E105" s="14">
        <f t="shared" si="3"/>
        <v>-6.54E-2</v>
      </c>
    </row>
    <row r="106" spans="1:5" x14ac:dyDescent="0.45">
      <c r="A106" s="10">
        <v>42277</v>
      </c>
      <c r="B106" s="14">
        <v>-2.1815999999999999E-2</v>
      </c>
      <c r="C106" s="14">
        <v>-3.0699999999999998E-2</v>
      </c>
      <c r="D106" s="14">
        <f t="shared" si="2"/>
        <v>-2.6816E-2</v>
      </c>
      <c r="E106" s="14">
        <f t="shared" si="3"/>
        <v>-3.5699999999999996E-2</v>
      </c>
    </row>
    <row r="107" spans="1:5" x14ac:dyDescent="0.45">
      <c r="A107" s="10">
        <v>42307</v>
      </c>
      <c r="B107" s="14">
        <v>8.3408999999999997E-2</v>
      </c>
      <c r="C107" s="14">
        <v>7.7499999999999999E-2</v>
      </c>
      <c r="D107" s="14">
        <f t="shared" si="2"/>
        <v>7.8408999999999993E-2</v>
      </c>
      <c r="E107" s="14">
        <f t="shared" si="3"/>
        <v>7.2499999999999995E-2</v>
      </c>
    </row>
    <row r="108" spans="1:5" x14ac:dyDescent="0.45">
      <c r="A108" s="10">
        <v>42338</v>
      </c>
      <c r="B108" s="14">
        <v>-5.6899999999999997E-3</v>
      </c>
      <c r="C108" s="14">
        <v>5.6000000000000008E-3</v>
      </c>
      <c r="D108" s="14">
        <f t="shared" si="2"/>
        <v>-1.069E-2</v>
      </c>
      <c r="E108" s="14">
        <f t="shared" si="3"/>
        <v>6.0000000000000071E-4</v>
      </c>
    </row>
    <row r="109" spans="1:5" x14ac:dyDescent="0.45">
      <c r="A109" s="10">
        <v>42369</v>
      </c>
      <c r="B109" s="14">
        <v>-0.11022800000000001</v>
      </c>
      <c r="C109" s="14">
        <v>-2.1600000000000001E-2</v>
      </c>
      <c r="D109" s="14">
        <f t="shared" si="2"/>
        <v>-0.11522800000000001</v>
      </c>
      <c r="E109" s="14">
        <f t="shared" si="3"/>
        <v>-2.6600000000000002E-2</v>
      </c>
    </row>
    <row r="110" spans="1:5" x14ac:dyDescent="0.45">
      <c r="A110" s="10">
        <v>42398</v>
      </c>
      <c r="B110" s="14">
        <v>-7.5242000000000003E-2</v>
      </c>
      <c r="C110" s="14">
        <v>-5.7599999999999998E-2</v>
      </c>
      <c r="D110" s="14">
        <f t="shared" si="2"/>
        <v>-8.0242000000000008E-2</v>
      </c>
      <c r="E110" s="14">
        <f t="shared" si="3"/>
        <v>-6.2600000000000003E-2</v>
      </c>
    </row>
    <row r="111" spans="1:5" x14ac:dyDescent="0.45">
      <c r="A111" s="10">
        <v>42429</v>
      </c>
      <c r="B111" s="14">
        <v>-1.335E-3</v>
      </c>
      <c r="C111" s="14">
        <v>-5.0000000000000001E-4</v>
      </c>
      <c r="D111" s="14">
        <f t="shared" si="2"/>
        <v>-6.3350000000000004E-3</v>
      </c>
      <c r="E111" s="14">
        <f t="shared" si="3"/>
        <v>-5.4999999999999997E-3</v>
      </c>
    </row>
    <row r="112" spans="1:5" x14ac:dyDescent="0.45">
      <c r="A112" s="10">
        <v>42460</v>
      </c>
      <c r="B112" s="14">
        <v>0.12721099999999999</v>
      </c>
      <c r="C112" s="14">
        <v>6.9800000000000001E-2</v>
      </c>
      <c r="D112" s="14">
        <f t="shared" si="2"/>
        <v>0.12221099999999999</v>
      </c>
      <c r="E112" s="14">
        <f t="shared" si="3"/>
        <v>6.4799999999999996E-2</v>
      </c>
    </row>
    <row r="113" spans="1:5" x14ac:dyDescent="0.45">
      <c r="A113" s="10">
        <v>42489</v>
      </c>
      <c r="B113" s="14">
        <v>-0.13992099999999999</v>
      </c>
      <c r="C113" s="14">
        <v>9.1999999999999998E-3</v>
      </c>
      <c r="D113" s="14">
        <f t="shared" si="2"/>
        <v>-0.14492099999999999</v>
      </c>
      <c r="E113" s="14">
        <f t="shared" si="3"/>
        <v>4.1999999999999997E-3</v>
      </c>
    </row>
    <row r="114" spans="1:5" x14ac:dyDescent="0.45">
      <c r="A114" s="10">
        <v>42521</v>
      </c>
      <c r="B114" s="14">
        <v>7.1368000000000001E-2</v>
      </c>
      <c r="C114" s="14">
        <v>1.7899999999999999E-2</v>
      </c>
      <c r="D114" s="14">
        <f t="shared" si="2"/>
        <v>6.6367999999999996E-2</v>
      </c>
      <c r="E114" s="14">
        <f t="shared" si="3"/>
        <v>1.2899999999999998E-2</v>
      </c>
    </row>
    <row r="115" spans="1:5" x14ac:dyDescent="0.45">
      <c r="A115" s="10">
        <v>42551</v>
      </c>
      <c r="B115" s="14">
        <v>-4.2659999999999997E-2</v>
      </c>
      <c r="C115" s="14">
        <v>-3.0000000000000003E-4</v>
      </c>
      <c r="D115" s="14">
        <f t="shared" si="2"/>
        <v>-4.7659999999999994E-2</v>
      </c>
      <c r="E115" s="14">
        <f t="shared" si="3"/>
        <v>-5.3E-3</v>
      </c>
    </row>
    <row r="116" spans="1:5" x14ac:dyDescent="0.45">
      <c r="A116" s="10">
        <v>42580</v>
      </c>
      <c r="B116" s="14">
        <v>9.0063000000000004E-2</v>
      </c>
      <c r="C116" s="14">
        <v>3.9699999999999999E-2</v>
      </c>
      <c r="D116" s="14">
        <f t="shared" si="2"/>
        <v>8.5063E-2</v>
      </c>
      <c r="E116" s="14">
        <f t="shared" si="3"/>
        <v>3.4700000000000002E-2</v>
      </c>
    </row>
    <row r="117" spans="1:5" x14ac:dyDescent="0.45">
      <c r="A117" s="10">
        <v>42613</v>
      </c>
      <c r="B117" s="14">
        <v>2.3605999999999999E-2</v>
      </c>
      <c r="C117" s="14">
        <v>5.1000000000000004E-3</v>
      </c>
      <c r="D117" s="14">
        <f t="shared" si="2"/>
        <v>1.8605999999999998E-2</v>
      </c>
      <c r="E117" s="14">
        <f t="shared" si="3"/>
        <v>1.0000000000000026E-4</v>
      </c>
    </row>
    <row r="118" spans="1:5" x14ac:dyDescent="0.45">
      <c r="A118" s="10">
        <v>42643</v>
      </c>
      <c r="B118" s="14">
        <v>6.5504000000000007E-2</v>
      </c>
      <c r="C118" s="14">
        <v>2.7000000000000001E-3</v>
      </c>
      <c r="D118" s="14">
        <f t="shared" si="2"/>
        <v>6.0504000000000009E-2</v>
      </c>
      <c r="E118" s="14">
        <f t="shared" si="3"/>
        <v>-2.3E-3</v>
      </c>
    </row>
    <row r="119" spans="1:5" x14ac:dyDescent="0.45">
      <c r="A119" s="10">
        <v>42674</v>
      </c>
      <c r="B119" s="14">
        <v>4.3340000000000002E-3</v>
      </c>
      <c r="C119" s="14">
        <v>-0.02</v>
      </c>
      <c r="D119" s="14">
        <f t="shared" si="2"/>
        <v>-6.6599999999999993E-4</v>
      </c>
      <c r="E119" s="14">
        <f t="shared" si="3"/>
        <v>-2.5000000000000001E-2</v>
      </c>
    </row>
    <row r="120" spans="1:5" x14ac:dyDescent="0.45">
      <c r="A120" s="10">
        <v>42704</v>
      </c>
      <c r="B120" s="14">
        <v>-2.1578E-2</v>
      </c>
      <c r="C120" s="14">
        <v>4.87E-2</v>
      </c>
      <c r="D120" s="14">
        <f t="shared" si="2"/>
        <v>-2.6578000000000001E-2</v>
      </c>
      <c r="E120" s="14">
        <f t="shared" si="3"/>
        <v>4.3700000000000003E-2</v>
      </c>
    </row>
    <row r="121" spans="1:5" x14ac:dyDescent="0.45">
      <c r="A121" s="10">
        <v>42734</v>
      </c>
      <c r="B121" s="14">
        <v>4.7954999999999998E-2</v>
      </c>
      <c r="C121" s="14">
        <v>1.84E-2</v>
      </c>
      <c r="D121" s="14">
        <f t="shared" si="2"/>
        <v>4.2955E-2</v>
      </c>
      <c r="E121" s="14">
        <f t="shared" si="3"/>
        <v>1.3399999999999999E-2</v>
      </c>
    </row>
  </sheetData>
  <mergeCells count="1">
    <mergeCell ref="G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C9F6-12CB-4DAB-AADE-CE878FA43E0F}">
  <dimension ref="A1:L1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defaultRowHeight="14.25" x14ac:dyDescent="0.45"/>
  <cols>
    <col min="1" max="4" width="9.06640625" style="3"/>
    <col min="5" max="5" width="9.06640625" style="13"/>
    <col min="7" max="7" width="15.86328125" bestFit="1" customWidth="1"/>
  </cols>
  <sheetData>
    <row r="1" spans="1:12" x14ac:dyDescent="0.45">
      <c r="A1" s="9" t="s">
        <v>10</v>
      </c>
      <c r="B1" s="11" t="s">
        <v>12</v>
      </c>
      <c r="C1" s="11" t="s">
        <v>11</v>
      </c>
      <c r="D1" s="11" t="s">
        <v>13</v>
      </c>
      <c r="E1" s="12" t="s">
        <v>14</v>
      </c>
      <c r="H1" s="11" t="s">
        <v>12</v>
      </c>
      <c r="I1" s="11" t="s">
        <v>11</v>
      </c>
      <c r="J1" s="11" t="s">
        <v>13</v>
      </c>
      <c r="K1" s="11" t="s">
        <v>14</v>
      </c>
      <c r="L1" s="11"/>
    </row>
    <row r="2" spans="1:12" x14ac:dyDescent="0.45">
      <c r="A2" s="10">
        <v>39113</v>
      </c>
      <c r="B2" s="8">
        <v>1.0489999999999999E-2</v>
      </c>
      <c r="C2" s="8">
        <v>8.9080999999999994E-2</v>
      </c>
      <c r="D2" s="8">
        <v>3.3489999999999999E-2</v>
      </c>
      <c r="E2" s="8">
        <f>SUMPRODUCT(B2:D2,$H$6:$J$6)</f>
        <v>3.0808200104208785E-2</v>
      </c>
      <c r="G2" t="s">
        <v>4</v>
      </c>
      <c r="H2" s="8">
        <f>AVERAGE(B2:B121)</f>
        <v>2.4107308333333331E-2</v>
      </c>
      <c r="I2" s="8">
        <f t="shared" ref="I2:K2" si="0">AVERAGE(C2:C121)</f>
        <v>1.3761941666666671E-2</v>
      </c>
      <c r="J2" s="8">
        <f t="shared" si="0"/>
        <v>1.069908333333334E-2</v>
      </c>
      <c r="K2" s="8">
        <f t="shared" si="0"/>
        <v>1.9356590239484581E-2</v>
      </c>
      <c r="L2" s="17" t="str">
        <f ca="1">_xlfn.FORMULATEXT(K2)</f>
        <v>=AVERAGE(E2:E121)</v>
      </c>
    </row>
    <row r="3" spans="1:12" x14ac:dyDescent="0.45">
      <c r="A3" s="10">
        <v>39141</v>
      </c>
      <c r="B3" s="8">
        <v>-1.3063999999999999E-2</v>
      </c>
      <c r="C3" s="8">
        <v>-0.10378900000000001</v>
      </c>
      <c r="D3" s="8">
        <v>-8.3927000000000002E-2</v>
      </c>
      <c r="E3" s="8">
        <f t="shared" ref="E3:E66" si="1">SUMPRODUCT(B3:D3,$H$6:$J$6)</f>
        <v>-4.5381600129779182E-2</v>
      </c>
      <c r="G3" t="s">
        <v>3</v>
      </c>
      <c r="H3" s="8">
        <f>_xlfn.STDEV.S(B2:B121)</f>
        <v>9.1892858259620028E-2</v>
      </c>
      <c r="I3" s="8">
        <f t="shared" ref="I3:K3" si="2">_xlfn.STDEV.S(C2:C121)</f>
        <v>8.4118749380959867E-2</v>
      </c>
      <c r="J3" s="8">
        <f t="shared" si="2"/>
        <v>7.2193544040906291E-2</v>
      </c>
      <c r="K3" s="8">
        <f t="shared" si="2"/>
        <v>7.4822897182153195E-2</v>
      </c>
      <c r="L3" s="17" t="str">
        <f t="shared" ref="L3:L5" ca="1" si="3">_xlfn.FORMULATEXT(K3)</f>
        <v>=STDEV.S(E2:E121)</v>
      </c>
    </row>
    <row r="4" spans="1:12" x14ac:dyDescent="0.45">
      <c r="A4" s="10">
        <v>39171</v>
      </c>
      <c r="B4" s="8">
        <v>9.8097000000000004E-2</v>
      </c>
      <c r="C4" s="8">
        <v>1.9379E-2</v>
      </c>
      <c r="D4" s="8">
        <v>-1.065E-2</v>
      </c>
      <c r="E4" s="8">
        <f t="shared" si="1"/>
        <v>6.0604000974506113E-2</v>
      </c>
      <c r="G4" t="s">
        <v>8</v>
      </c>
      <c r="H4" s="8">
        <f>(H2-0.5%)</f>
        <v>1.910730833333333E-2</v>
      </c>
      <c r="I4" s="8">
        <f t="shared" ref="I4:K4" si="4">(I2-0.5%)</f>
        <v>8.761941666666672E-3</v>
      </c>
      <c r="J4" s="8">
        <f t="shared" si="4"/>
        <v>5.6990833333333398E-3</v>
      </c>
      <c r="K4" s="8">
        <f t="shared" si="4"/>
        <v>1.435659023948458E-2</v>
      </c>
      <c r="L4" s="17" t="str">
        <f t="shared" ca="1" si="3"/>
        <v>=(K2-0.5%)</v>
      </c>
    </row>
    <row r="5" spans="1:12" x14ac:dyDescent="0.45">
      <c r="A5" s="10">
        <v>39202</v>
      </c>
      <c r="B5" s="8">
        <v>7.4158000000000002E-2</v>
      </c>
      <c r="C5" s="8">
        <v>2.8854999999999999E-2</v>
      </c>
      <c r="D5" s="8">
        <v>7.4273000000000006E-2</v>
      </c>
      <c r="E5" s="8">
        <f t="shared" si="1"/>
        <v>6.5120400736693521E-2</v>
      </c>
      <c r="G5" t="s">
        <v>6</v>
      </c>
      <c r="H5" s="16">
        <f>H4/H3</f>
        <v>0.20793028637057367</v>
      </c>
      <c r="I5" s="16">
        <f t="shared" ref="I5:K5" si="5">I4/I3</f>
        <v>0.10416157790203574</v>
      </c>
      <c r="J5" s="16">
        <f t="shared" si="5"/>
        <v>7.8941730996114096E-2</v>
      </c>
      <c r="K5" s="20">
        <f t="shared" si="5"/>
        <v>0.19187428955783503</v>
      </c>
      <c r="L5" s="17" t="str">
        <f t="shared" ca="1" si="3"/>
        <v>=K4/K3</v>
      </c>
    </row>
    <row r="6" spans="1:12" x14ac:dyDescent="0.45">
      <c r="A6" s="10">
        <v>39233</v>
      </c>
      <c r="B6" s="8">
        <v>0.214339</v>
      </c>
      <c r="C6" s="8">
        <v>5.6279000000000003E-2</v>
      </c>
      <c r="D6" s="8">
        <v>2.8393000000000002E-2</v>
      </c>
      <c r="E6" s="8">
        <f t="shared" si="1"/>
        <v>0.14553780212926662</v>
      </c>
      <c r="G6" t="s">
        <v>15</v>
      </c>
      <c r="H6" s="8">
        <v>0.60000000993410718</v>
      </c>
      <c r="I6" s="8">
        <v>0.2</v>
      </c>
      <c r="J6" s="8">
        <v>0.2</v>
      </c>
      <c r="K6" s="8">
        <f>SUM(H6:J6)</f>
        <v>1.0000000099341071</v>
      </c>
      <c r="L6" s="3"/>
    </row>
    <row r="7" spans="1:12" x14ac:dyDescent="0.45">
      <c r="A7" s="10">
        <v>39262</v>
      </c>
      <c r="B7" s="8">
        <v>7.0049999999999999E-3</v>
      </c>
      <c r="C7" s="8">
        <v>4.9790000000000001E-2</v>
      </c>
      <c r="D7" s="8">
        <v>-3.9756E-2</v>
      </c>
      <c r="E7" s="8">
        <f t="shared" si="1"/>
        <v>6.2098000695884215E-3</v>
      </c>
    </row>
    <row r="8" spans="1:12" x14ac:dyDescent="0.45">
      <c r="A8" s="10">
        <v>39294</v>
      </c>
      <c r="B8" s="8">
        <v>7.9645999999999995E-2</v>
      </c>
      <c r="C8" s="8">
        <v>-2.4296999999999999E-2</v>
      </c>
      <c r="D8" s="8">
        <v>-1.6288E-2</v>
      </c>
      <c r="E8" s="8">
        <f t="shared" si="1"/>
        <v>3.9670600791211895E-2</v>
      </c>
    </row>
    <row r="9" spans="1:12" x14ac:dyDescent="0.45">
      <c r="A9" s="10">
        <v>39325</v>
      </c>
      <c r="B9" s="8">
        <v>5.1001999999999999E-2</v>
      </c>
      <c r="C9" s="8">
        <v>1.0293999999999999E-2</v>
      </c>
      <c r="D9" s="8">
        <v>-5.5189999999999996E-3</v>
      </c>
      <c r="E9" s="8">
        <f t="shared" si="1"/>
        <v>3.1556200506659332E-2</v>
      </c>
    </row>
    <row r="10" spans="1:12" x14ac:dyDescent="0.45">
      <c r="A10" s="10">
        <v>39353</v>
      </c>
      <c r="B10" s="8">
        <v>0.108247</v>
      </c>
      <c r="C10" s="8">
        <v>0.100961</v>
      </c>
      <c r="D10" s="8">
        <v>2.5409000000000001E-2</v>
      </c>
      <c r="E10" s="8">
        <f t="shared" si="1"/>
        <v>9.0222201075337294E-2</v>
      </c>
    </row>
    <row r="11" spans="1:12" x14ac:dyDescent="0.45">
      <c r="A11" s="10">
        <v>39386</v>
      </c>
      <c r="B11" s="8">
        <v>0.237701</v>
      </c>
      <c r="C11" s="8">
        <v>0.24632000000000001</v>
      </c>
      <c r="D11" s="8">
        <v>0.24949099999999999</v>
      </c>
      <c r="E11" s="8">
        <f t="shared" si="1"/>
        <v>0.24178280236134722</v>
      </c>
    </row>
    <row r="12" spans="1:12" x14ac:dyDescent="0.45">
      <c r="A12" s="10">
        <v>39416</v>
      </c>
      <c r="B12" s="8">
        <v>-4.0695000000000002E-2</v>
      </c>
      <c r="C12" s="8">
        <v>-1.9802E-2</v>
      </c>
      <c r="D12" s="8">
        <v>-8.4215999999999999E-2</v>
      </c>
      <c r="E12" s="8">
        <f t="shared" si="1"/>
        <v>-4.5220600404268493E-2</v>
      </c>
    </row>
    <row r="13" spans="1:12" x14ac:dyDescent="0.45">
      <c r="A13" s="10">
        <v>39447</v>
      </c>
      <c r="B13" s="8">
        <v>8.7038000000000004E-2</v>
      </c>
      <c r="C13" s="8">
        <v>-2.1930000000000001E-3</v>
      </c>
      <c r="D13" s="8">
        <v>5.9524000000000001E-2</v>
      </c>
      <c r="E13" s="8">
        <f t="shared" si="1"/>
        <v>6.3689000864644824E-2</v>
      </c>
    </row>
    <row r="14" spans="1:12" x14ac:dyDescent="0.45">
      <c r="A14" s="10">
        <v>39478</v>
      </c>
      <c r="B14" s="8">
        <v>-0.31663999999999998</v>
      </c>
      <c r="C14" s="8">
        <v>-0.183924</v>
      </c>
      <c r="D14" s="8">
        <v>-8.4269999999999998E-2</v>
      </c>
      <c r="E14" s="8">
        <f t="shared" si="1"/>
        <v>-0.24362280314553569</v>
      </c>
    </row>
    <row r="15" spans="1:12" x14ac:dyDescent="0.45">
      <c r="A15" s="10">
        <v>39507</v>
      </c>
      <c r="B15" s="8">
        <v>-7.6388999999999999E-2</v>
      </c>
      <c r="C15" s="8">
        <v>-0.165019</v>
      </c>
      <c r="D15" s="8">
        <v>-0.162273</v>
      </c>
      <c r="E15" s="8">
        <f t="shared" si="1"/>
        <v>-0.11129180075885652</v>
      </c>
    </row>
    <row r="16" spans="1:12" x14ac:dyDescent="0.45">
      <c r="A16" s="10">
        <v>39538</v>
      </c>
      <c r="B16" s="8">
        <v>0.147816</v>
      </c>
      <c r="C16" s="8">
        <v>-6.5176999999999999E-2</v>
      </c>
      <c r="D16" s="8">
        <v>4.3386000000000001E-2</v>
      </c>
      <c r="E16" s="8">
        <f t="shared" si="1"/>
        <v>8.4331401468419984E-2</v>
      </c>
    </row>
    <row r="17" spans="1:5" x14ac:dyDescent="0.45">
      <c r="A17" s="10">
        <v>39568</v>
      </c>
      <c r="B17" s="8">
        <v>0.21219499999999999</v>
      </c>
      <c r="C17" s="8">
        <v>0.30381200000000003</v>
      </c>
      <c r="D17" s="8">
        <v>4.9329999999999999E-3</v>
      </c>
      <c r="E17" s="8">
        <f t="shared" si="1"/>
        <v>0.18906600210796787</v>
      </c>
    </row>
    <row r="18" spans="1:5" x14ac:dyDescent="0.45">
      <c r="A18" s="10">
        <v>39598</v>
      </c>
      <c r="B18" s="8">
        <v>8.5082000000000005E-2</v>
      </c>
      <c r="C18" s="8">
        <v>2.0042000000000001E-2</v>
      </c>
      <c r="D18" s="8">
        <v>-3.156E-3</v>
      </c>
      <c r="E18" s="8">
        <f t="shared" si="1"/>
        <v>5.4426400845213711E-2</v>
      </c>
    </row>
    <row r="19" spans="1:5" x14ac:dyDescent="0.45">
      <c r="A19" s="10">
        <v>39629</v>
      </c>
      <c r="B19" s="8">
        <v>-0.112901</v>
      </c>
      <c r="C19" s="8">
        <v>-0.101366</v>
      </c>
      <c r="D19" s="8">
        <v>-2.8601999999999999E-2</v>
      </c>
      <c r="E19" s="8">
        <f t="shared" si="1"/>
        <v>-9.3734201121570646E-2</v>
      </c>
    </row>
    <row r="20" spans="1:5" x14ac:dyDescent="0.45">
      <c r="A20" s="10">
        <v>39660</v>
      </c>
      <c r="B20" s="8">
        <v>-5.0705E-2</v>
      </c>
      <c r="C20" s="8">
        <v>-0.100053</v>
      </c>
      <c r="D20" s="8">
        <v>-6.5067E-2</v>
      </c>
      <c r="E20" s="8">
        <f t="shared" si="1"/>
        <v>-6.3447000503708911E-2</v>
      </c>
    </row>
    <row r="21" spans="1:5" x14ac:dyDescent="0.45">
      <c r="A21" s="10">
        <v>39689</v>
      </c>
      <c r="B21" s="8">
        <v>6.6561999999999996E-2</v>
      </c>
      <c r="C21" s="8">
        <v>-2.2079000000000001E-2</v>
      </c>
      <c r="D21" s="8">
        <v>6.5319000000000002E-2</v>
      </c>
      <c r="E21" s="8">
        <f t="shared" si="1"/>
        <v>4.8585200661234042E-2</v>
      </c>
    </row>
    <row r="22" spans="1:5" x14ac:dyDescent="0.45">
      <c r="A22" s="10">
        <v>39721</v>
      </c>
      <c r="B22" s="8">
        <v>-0.32955800000000002</v>
      </c>
      <c r="C22" s="8">
        <v>-0.135488</v>
      </c>
      <c r="D22" s="8">
        <v>-2.1985999999999999E-2</v>
      </c>
      <c r="E22" s="8">
        <f t="shared" si="1"/>
        <v>-0.22922960327386449</v>
      </c>
    </row>
    <row r="23" spans="1:5" x14ac:dyDescent="0.45">
      <c r="A23" s="10">
        <v>39752</v>
      </c>
      <c r="B23" s="8">
        <v>-5.3405000000000001E-2</v>
      </c>
      <c r="C23" s="8">
        <v>-0.102766</v>
      </c>
      <c r="D23" s="8">
        <v>-0.163357</v>
      </c>
      <c r="E23" s="8">
        <f t="shared" si="1"/>
        <v>-8.5267600530531007E-2</v>
      </c>
    </row>
    <row r="24" spans="1:5" x14ac:dyDescent="0.45">
      <c r="A24" s="10">
        <v>39780</v>
      </c>
      <c r="B24" s="8">
        <v>-0.13867499999999999</v>
      </c>
      <c r="C24" s="8">
        <v>-0.18477299999999999</v>
      </c>
      <c r="D24" s="8">
        <v>-8.8669999999999999E-2</v>
      </c>
      <c r="E24" s="8">
        <f t="shared" si="1"/>
        <v>-0.13789360137761231</v>
      </c>
    </row>
    <row r="25" spans="1:5" x14ac:dyDescent="0.45">
      <c r="A25" s="10">
        <v>39813</v>
      </c>
      <c r="B25" s="8">
        <v>-7.8990000000000005E-2</v>
      </c>
      <c r="C25" s="8">
        <v>5.0143E-2</v>
      </c>
      <c r="D25" s="8">
        <v>-3.8575999999999999E-2</v>
      </c>
      <c r="E25" s="8">
        <f t="shared" si="1"/>
        <v>-4.5080600784695127E-2</v>
      </c>
    </row>
    <row r="26" spans="1:5" x14ac:dyDescent="0.45">
      <c r="A26" s="10">
        <v>39843</v>
      </c>
      <c r="B26" s="8">
        <v>5.6004999999999999E-2</v>
      </c>
      <c r="C26" s="8">
        <v>0.100374</v>
      </c>
      <c r="D26" s="8">
        <v>-0.12037</v>
      </c>
      <c r="E26" s="8">
        <f t="shared" si="1"/>
        <v>2.9603800556359677E-2</v>
      </c>
    </row>
    <row r="27" spans="1:5" x14ac:dyDescent="0.45">
      <c r="A27" s="10">
        <v>39871</v>
      </c>
      <c r="B27" s="8">
        <v>-9.0980000000000002E-3</v>
      </c>
      <c r="C27" s="8">
        <v>-1.5950000000000001E-3</v>
      </c>
      <c r="D27" s="8">
        <v>-4.7953000000000003E-2</v>
      </c>
      <c r="E27" s="8">
        <f t="shared" si="1"/>
        <v>-1.5368400090380509E-2</v>
      </c>
    </row>
    <row r="28" spans="1:5" x14ac:dyDescent="0.45">
      <c r="A28" s="10">
        <v>39903</v>
      </c>
      <c r="B28" s="8">
        <v>0.17702399999999999</v>
      </c>
      <c r="C28" s="8">
        <v>2.9794000000000001E-2</v>
      </c>
      <c r="D28" s="8">
        <v>0.137461</v>
      </c>
      <c r="E28" s="8">
        <f t="shared" si="1"/>
        <v>0.13966540175857539</v>
      </c>
    </row>
    <row r="29" spans="1:5" x14ac:dyDescent="0.45">
      <c r="A29" s="10">
        <v>39933</v>
      </c>
      <c r="B29" s="8">
        <v>0.19701299999999999</v>
      </c>
      <c r="C29" s="8">
        <v>0.13764899999999999</v>
      </c>
      <c r="D29" s="8">
        <v>0.102885</v>
      </c>
      <c r="E29" s="8">
        <f t="shared" si="1"/>
        <v>0.16631460195714826</v>
      </c>
    </row>
    <row r="30" spans="1:5" x14ac:dyDescent="0.45">
      <c r="A30" s="10">
        <v>39962</v>
      </c>
      <c r="B30" s="8">
        <v>7.9312999999999995E-2</v>
      </c>
      <c r="C30" s="8">
        <v>5.3691000000000003E-2</v>
      </c>
      <c r="D30" s="8">
        <v>3.7511999999999997E-2</v>
      </c>
      <c r="E30" s="8">
        <f t="shared" si="1"/>
        <v>6.5828400787903835E-2</v>
      </c>
    </row>
    <row r="31" spans="1:5" x14ac:dyDescent="0.45">
      <c r="A31" s="10">
        <v>39994</v>
      </c>
      <c r="B31" s="8">
        <v>4.8744999999999997E-2</v>
      </c>
      <c r="C31" s="8">
        <v>1.0449999999999999E-2</v>
      </c>
      <c r="D31" s="8">
        <v>0.13786499999999999</v>
      </c>
      <c r="E31" s="8">
        <f t="shared" si="1"/>
        <v>5.891000048423805E-2</v>
      </c>
    </row>
    <row r="32" spans="1:5" x14ac:dyDescent="0.45">
      <c r="A32" s="10">
        <v>40025</v>
      </c>
      <c r="B32" s="8">
        <v>0.14716000000000001</v>
      </c>
      <c r="C32" s="8">
        <v>5.0902999999999997E-2</v>
      </c>
      <c r="D32" s="8">
        <v>-1.0517E-2</v>
      </c>
      <c r="E32" s="8">
        <f t="shared" si="1"/>
        <v>9.6373201461903216E-2</v>
      </c>
    </row>
    <row r="33" spans="1:5" x14ac:dyDescent="0.45">
      <c r="A33" s="10">
        <v>40056</v>
      </c>
      <c r="B33" s="8">
        <v>2.9499999999999998E-2</v>
      </c>
      <c r="C33" s="8">
        <v>4.2027000000000002E-2</v>
      </c>
      <c r="D33" s="8">
        <v>5.3571000000000001E-2</v>
      </c>
      <c r="E33" s="8">
        <f t="shared" si="1"/>
        <v>3.6819600293056157E-2</v>
      </c>
    </row>
    <row r="34" spans="1:5" x14ac:dyDescent="0.45">
      <c r="A34" s="10">
        <v>40086</v>
      </c>
      <c r="B34" s="8">
        <v>0.101896</v>
      </c>
      <c r="C34" s="8">
        <v>7.4036000000000005E-2</v>
      </c>
      <c r="D34" s="8">
        <v>4.3408000000000002E-2</v>
      </c>
      <c r="E34" s="8">
        <f t="shared" si="1"/>
        <v>8.4626401012245792E-2</v>
      </c>
    </row>
    <row r="35" spans="1:5" x14ac:dyDescent="0.45">
      <c r="A35" s="10">
        <v>40116</v>
      </c>
      <c r="B35" s="8">
        <v>1.6995E-2</v>
      </c>
      <c r="C35" s="8">
        <v>8.1213999999999995E-2</v>
      </c>
      <c r="D35" s="8">
        <v>7.8148999999999996E-2</v>
      </c>
      <c r="E35" s="8">
        <f t="shared" si="1"/>
        <v>4.206960016883015E-2</v>
      </c>
    </row>
    <row r="36" spans="1:5" x14ac:dyDescent="0.45">
      <c r="A36" s="10">
        <v>40147</v>
      </c>
      <c r="B36" s="8">
        <v>6.0531000000000001E-2</v>
      </c>
      <c r="C36" s="8">
        <v>8.7443000000000007E-2</v>
      </c>
      <c r="D36" s="8">
        <v>6.5271999999999997E-2</v>
      </c>
      <c r="E36" s="8">
        <f t="shared" si="1"/>
        <v>6.6861600601321458E-2</v>
      </c>
    </row>
    <row r="37" spans="1:5" x14ac:dyDescent="0.45">
      <c r="A37" s="10">
        <v>40178</v>
      </c>
      <c r="B37" s="8">
        <v>5.4134000000000002E-2</v>
      </c>
      <c r="C37" s="8">
        <v>6.343E-2</v>
      </c>
      <c r="D37" s="8">
        <v>3.6381999999999998E-2</v>
      </c>
      <c r="E37" s="8">
        <f t="shared" si="1"/>
        <v>5.2442800537772963E-2</v>
      </c>
    </row>
    <row r="38" spans="1:5" x14ac:dyDescent="0.45">
      <c r="A38" s="10">
        <v>40207</v>
      </c>
      <c r="B38" s="8">
        <v>-8.8591000000000003E-2</v>
      </c>
      <c r="C38" s="8">
        <v>-0.14522399999999999</v>
      </c>
      <c r="D38" s="8">
        <v>-7.5458999999999998E-2</v>
      </c>
      <c r="E38" s="8">
        <f t="shared" si="1"/>
        <v>-9.7291200880072495E-2</v>
      </c>
    </row>
    <row r="39" spans="1:5" x14ac:dyDescent="0.45">
      <c r="A39" s="10">
        <v>40235</v>
      </c>
      <c r="B39" s="8">
        <v>6.5379999999999994E-2</v>
      </c>
      <c r="C39" s="8">
        <v>-5.9329999999999999E-3</v>
      </c>
      <c r="D39" s="8">
        <v>2.2001E-2</v>
      </c>
      <c r="E39" s="8">
        <f t="shared" si="1"/>
        <v>4.2441600649491922E-2</v>
      </c>
    </row>
    <row r="40" spans="1:5" x14ac:dyDescent="0.45">
      <c r="A40" s="10">
        <v>40268</v>
      </c>
      <c r="B40" s="8">
        <v>0.14846999999999999</v>
      </c>
      <c r="C40" s="8">
        <v>7.6537999999999995E-2</v>
      </c>
      <c r="D40" s="8">
        <v>2.1538000000000002E-2</v>
      </c>
      <c r="E40" s="8">
        <f t="shared" si="1"/>
        <v>0.10869720147491689</v>
      </c>
    </row>
    <row r="41" spans="1:5" x14ac:dyDescent="0.45">
      <c r="A41" s="10">
        <v>40298</v>
      </c>
      <c r="B41" s="8">
        <v>0.11102099999999999</v>
      </c>
      <c r="C41" s="8">
        <v>-7.3043999999999998E-2</v>
      </c>
      <c r="D41" s="8">
        <v>4.2595000000000001E-2</v>
      </c>
      <c r="E41" s="8">
        <f t="shared" si="1"/>
        <v>6.0522801102894506E-2</v>
      </c>
    </row>
    <row r="42" spans="1:5" x14ac:dyDescent="0.45">
      <c r="A42" s="10">
        <v>40326</v>
      </c>
      <c r="B42" s="8">
        <v>-1.6125E-2</v>
      </c>
      <c r="C42" s="8">
        <v>-7.6213000000000003E-2</v>
      </c>
      <c r="D42" s="8">
        <v>-0.150811</v>
      </c>
      <c r="E42" s="8">
        <f t="shared" si="1"/>
        <v>-5.507980016018748E-2</v>
      </c>
    </row>
    <row r="43" spans="1:5" x14ac:dyDescent="0.45">
      <c r="A43" s="10">
        <v>40359</v>
      </c>
      <c r="B43" s="8">
        <v>-2.0826999999999998E-2</v>
      </c>
      <c r="C43" s="8">
        <v>-8.3766999999999994E-2</v>
      </c>
      <c r="D43" s="8">
        <v>-0.10814</v>
      </c>
      <c r="E43" s="8">
        <f t="shared" si="1"/>
        <v>-5.0877600206897647E-2</v>
      </c>
    </row>
    <row r="44" spans="1:5" x14ac:dyDescent="0.45">
      <c r="A44" s="10">
        <v>40389</v>
      </c>
      <c r="B44" s="8">
        <v>2.2741000000000001E-2</v>
      </c>
      <c r="C44" s="8">
        <v>8.9673000000000003E-2</v>
      </c>
      <c r="D44" s="8">
        <v>0.121686</v>
      </c>
      <c r="E44" s="8">
        <f t="shared" si="1"/>
        <v>5.5916400225911538E-2</v>
      </c>
    </row>
    <row r="45" spans="1:5" x14ac:dyDescent="0.45">
      <c r="A45" s="10">
        <v>40421</v>
      </c>
      <c r="B45" s="8">
        <v>-5.5004999999999998E-2</v>
      </c>
      <c r="C45" s="8">
        <v>-7.1836999999999998E-2</v>
      </c>
      <c r="D45" s="8">
        <v>-8.5819000000000006E-2</v>
      </c>
      <c r="E45" s="8">
        <f t="shared" si="1"/>
        <v>-6.4534200546425571E-2</v>
      </c>
    </row>
    <row r="46" spans="1:5" x14ac:dyDescent="0.45">
      <c r="A46" s="10">
        <v>40451</v>
      </c>
      <c r="B46" s="8">
        <v>0.167215</v>
      </c>
      <c r="C46" s="8">
        <v>0.16836999999999999</v>
      </c>
      <c r="D46" s="8">
        <v>4.3681999999999999E-2</v>
      </c>
      <c r="E46" s="8">
        <f t="shared" si="1"/>
        <v>0.14273940166113175</v>
      </c>
    </row>
    <row r="47" spans="1:5" x14ac:dyDescent="0.45">
      <c r="A47" s="10">
        <v>40480</v>
      </c>
      <c r="B47" s="8">
        <v>6.0722999999999999E-2</v>
      </c>
      <c r="C47" s="8">
        <v>0.16719600000000001</v>
      </c>
      <c r="D47" s="8">
        <v>8.8812000000000002E-2</v>
      </c>
      <c r="E47" s="8">
        <f t="shared" si="1"/>
        <v>8.7635400603228789E-2</v>
      </c>
    </row>
    <row r="48" spans="1:5" x14ac:dyDescent="0.45">
      <c r="A48" s="10">
        <v>40512</v>
      </c>
      <c r="B48" s="8">
        <v>3.3790000000000001E-2</v>
      </c>
      <c r="C48" s="8">
        <v>-9.4492000000000007E-2</v>
      </c>
      <c r="D48" s="8">
        <v>-4.6783999999999999E-2</v>
      </c>
      <c r="E48" s="8">
        <f t="shared" si="1"/>
        <v>-7.9811996643265205E-3</v>
      </c>
    </row>
    <row r="49" spans="1:5" x14ac:dyDescent="0.45">
      <c r="A49" s="10">
        <v>40543</v>
      </c>
      <c r="B49" s="8">
        <v>3.6670000000000001E-2</v>
      </c>
      <c r="C49" s="8">
        <v>6.8848999999999994E-2</v>
      </c>
      <c r="D49" s="8">
        <v>0.105018</v>
      </c>
      <c r="E49" s="8">
        <f t="shared" si="1"/>
        <v>5.6775400364283704E-2</v>
      </c>
    </row>
    <row r="50" spans="1:5" x14ac:dyDescent="0.45">
      <c r="A50" s="10">
        <v>40574</v>
      </c>
      <c r="B50" s="8">
        <v>5.1958999999999998E-2</v>
      </c>
      <c r="C50" s="8">
        <v>1.0758E-2</v>
      </c>
      <c r="D50" s="8">
        <v>-6.6280000000000002E-3</v>
      </c>
      <c r="E50" s="8">
        <f t="shared" si="1"/>
        <v>3.2001400516166269E-2</v>
      </c>
    </row>
    <row r="51" spans="1:5" x14ac:dyDescent="0.45">
      <c r="A51" s="10">
        <v>40602</v>
      </c>
      <c r="B51" s="8">
        <v>4.0934999999999999E-2</v>
      </c>
      <c r="C51" s="8">
        <v>2.172E-2</v>
      </c>
      <c r="D51" s="8">
        <v>-3.5527999999999997E-2</v>
      </c>
      <c r="E51" s="8">
        <f t="shared" si="1"/>
        <v>2.1799400406652677E-2</v>
      </c>
    </row>
    <row r="52" spans="1:5" x14ac:dyDescent="0.45">
      <c r="A52" s="10">
        <v>40633</v>
      </c>
      <c r="B52" s="8">
        <v>-1.3313999999999999E-2</v>
      </c>
      <c r="C52" s="8">
        <v>-4.3430000000000003E-2</v>
      </c>
      <c r="D52" s="8">
        <v>-4.4770999999999998E-2</v>
      </c>
      <c r="E52" s="8">
        <f t="shared" si="1"/>
        <v>-2.5628600132262702E-2</v>
      </c>
    </row>
    <row r="53" spans="1:5" x14ac:dyDescent="0.45">
      <c r="A53" s="10">
        <v>40662</v>
      </c>
      <c r="B53" s="8">
        <v>4.6560000000000004E-3</v>
      </c>
      <c r="C53" s="8">
        <v>-7.2704000000000005E-2</v>
      </c>
      <c r="D53" s="8">
        <v>2.0874E-2</v>
      </c>
      <c r="E53" s="8">
        <f t="shared" si="1"/>
        <v>-7.5723999537467982E-3</v>
      </c>
    </row>
    <row r="54" spans="1:5" x14ac:dyDescent="0.45">
      <c r="A54" s="10">
        <v>40694</v>
      </c>
      <c r="B54" s="8">
        <v>-6.5690000000000002E-3</v>
      </c>
      <c r="C54" s="8">
        <v>-2.7715E-2</v>
      </c>
      <c r="D54" s="8">
        <v>-2.8934999999999999E-2</v>
      </c>
      <c r="E54" s="8">
        <f t="shared" si="1"/>
        <v>-1.5271400065257151E-2</v>
      </c>
    </row>
    <row r="55" spans="1:5" x14ac:dyDescent="0.45">
      <c r="A55" s="10">
        <v>40724</v>
      </c>
      <c r="B55" s="8">
        <v>-3.4959999999999998E-2</v>
      </c>
      <c r="C55" s="8">
        <v>-4.2796000000000001E-2</v>
      </c>
      <c r="D55" s="8">
        <v>3.9584000000000001E-2</v>
      </c>
      <c r="E55" s="8">
        <f t="shared" si="1"/>
        <v>-2.1618400347296382E-2</v>
      </c>
    </row>
    <row r="56" spans="1:5" x14ac:dyDescent="0.45">
      <c r="A56" s="10">
        <v>40753</v>
      </c>
      <c r="B56" s="8">
        <v>0.16328500000000001</v>
      </c>
      <c r="C56" s="8">
        <v>0.19216800000000001</v>
      </c>
      <c r="D56" s="8">
        <v>5.3845999999999998E-2</v>
      </c>
      <c r="E56" s="8">
        <f t="shared" si="1"/>
        <v>0.14717380162209071</v>
      </c>
    </row>
    <row r="57" spans="1:5" x14ac:dyDescent="0.45">
      <c r="A57" s="10">
        <v>40786</v>
      </c>
      <c r="B57" s="8">
        <v>-1.4468999999999999E-2</v>
      </c>
      <c r="C57" s="8">
        <v>-0.103911</v>
      </c>
      <c r="D57" s="8">
        <v>-2.3358E-2</v>
      </c>
      <c r="E57" s="8">
        <f t="shared" si="1"/>
        <v>-3.4135200143736597E-2</v>
      </c>
    </row>
    <row r="58" spans="1:5" x14ac:dyDescent="0.45">
      <c r="A58" s="10">
        <v>40816</v>
      </c>
      <c r="B58" s="8">
        <v>-9.1210000000000006E-3</v>
      </c>
      <c r="C58" s="8">
        <v>-4.7914999999999999E-2</v>
      </c>
      <c r="D58" s="8">
        <v>-6.4285999999999996E-2</v>
      </c>
      <c r="E58" s="8">
        <f t="shared" si="1"/>
        <v>-2.7912800090608994E-2</v>
      </c>
    </row>
    <row r="59" spans="1:5" x14ac:dyDescent="0.45">
      <c r="A59" s="10">
        <v>40847</v>
      </c>
      <c r="B59" s="8">
        <v>6.1523000000000001E-2</v>
      </c>
      <c r="C59" s="8">
        <v>0.150668</v>
      </c>
      <c r="D59" s="8">
        <v>6.9907999999999998E-2</v>
      </c>
      <c r="E59" s="8">
        <f t="shared" si="1"/>
        <v>8.1029000611176072E-2</v>
      </c>
    </row>
    <row r="60" spans="1:5" x14ac:dyDescent="0.45">
      <c r="A60" s="10">
        <v>40877</v>
      </c>
      <c r="B60" s="8">
        <v>-5.5782999999999999E-2</v>
      </c>
      <c r="C60" s="8">
        <v>1.1390000000000001E-2</v>
      </c>
      <c r="D60" s="8">
        <v>-3.1919000000000003E-2</v>
      </c>
      <c r="E60" s="8">
        <f t="shared" si="1"/>
        <v>-3.75756005541543E-2</v>
      </c>
    </row>
    <row r="61" spans="1:5" x14ac:dyDescent="0.45">
      <c r="A61" s="10">
        <v>40907</v>
      </c>
      <c r="B61" s="8">
        <v>5.9655E-2</v>
      </c>
      <c r="C61" s="8">
        <v>7.7595999999999998E-2</v>
      </c>
      <c r="D61" s="8">
        <v>1.4855E-2</v>
      </c>
      <c r="E61" s="8">
        <f t="shared" si="1"/>
        <v>5.4283200592619166E-2</v>
      </c>
    </row>
    <row r="62" spans="1:5" x14ac:dyDescent="0.45">
      <c r="A62" s="10">
        <v>40939</v>
      </c>
      <c r="B62" s="8">
        <v>0.127111</v>
      </c>
      <c r="C62" s="8">
        <v>-0.101858</v>
      </c>
      <c r="D62" s="8">
        <v>0.137519</v>
      </c>
      <c r="E62" s="8">
        <f t="shared" si="1"/>
        <v>8.3398801262734301E-2</v>
      </c>
    </row>
    <row r="63" spans="1:5" x14ac:dyDescent="0.45">
      <c r="A63" s="10">
        <v>40968</v>
      </c>
      <c r="B63" s="8">
        <v>0.18831100000000001</v>
      </c>
      <c r="C63" s="8">
        <v>6.5745999999999999E-2</v>
      </c>
      <c r="D63" s="8">
        <v>8.1612000000000004E-2</v>
      </c>
      <c r="E63" s="8">
        <f t="shared" si="1"/>
        <v>0.14245820187070168</v>
      </c>
    </row>
    <row r="64" spans="1:5" x14ac:dyDescent="0.45">
      <c r="A64" s="10">
        <v>40998</v>
      </c>
      <c r="B64" s="8">
        <v>0.105284</v>
      </c>
      <c r="C64" s="8">
        <v>3.7185999999999997E-2</v>
      </c>
      <c r="D64" s="8">
        <v>1.6226000000000001E-2</v>
      </c>
      <c r="E64" s="8">
        <f t="shared" si="1"/>
        <v>7.3852801045902555E-2</v>
      </c>
    </row>
    <row r="65" spans="1:5" x14ac:dyDescent="0.45">
      <c r="A65" s="10">
        <v>41029</v>
      </c>
      <c r="B65" s="8">
        <v>-2.5968999999999999E-2</v>
      </c>
      <c r="C65" s="8">
        <v>-5.6749000000000001E-2</v>
      </c>
      <c r="D65" s="8">
        <v>-7.4409999999999997E-3</v>
      </c>
      <c r="E65" s="8">
        <f t="shared" si="1"/>
        <v>-2.8419400257978827E-2</v>
      </c>
    </row>
    <row r="66" spans="1:5" x14ac:dyDescent="0.45">
      <c r="A66" s="10">
        <v>41060</v>
      </c>
      <c r="B66" s="8">
        <v>-1.0702E-2</v>
      </c>
      <c r="C66" s="8">
        <v>-3.9662999999999997E-2</v>
      </c>
      <c r="D66" s="8">
        <v>-8.1992999999999996E-2</v>
      </c>
      <c r="E66" s="8">
        <f t="shared" si="1"/>
        <v>-3.0752400106314814E-2</v>
      </c>
    </row>
    <row r="67" spans="1:5" x14ac:dyDescent="0.45">
      <c r="A67" s="10">
        <v>41089</v>
      </c>
      <c r="B67" s="8">
        <v>1.0853E-2</v>
      </c>
      <c r="C67" s="8">
        <v>-1.3600000000000001E-3</v>
      </c>
      <c r="D67" s="8">
        <v>4.7961999999999998E-2</v>
      </c>
      <c r="E67" s="8">
        <f t="shared" ref="E67:E121" si="6">SUMPRODUCT(B67:D67,$H$6:$J$6)</f>
        <v>1.5832200107814866E-2</v>
      </c>
    </row>
    <row r="68" spans="1:5" x14ac:dyDescent="0.45">
      <c r="A68" s="10">
        <v>41121</v>
      </c>
      <c r="B68" s="8">
        <v>4.5822000000000002E-2</v>
      </c>
      <c r="C68" s="8">
        <v>9.1195999999999999E-2</v>
      </c>
      <c r="D68" s="8">
        <v>-3.6613E-2</v>
      </c>
      <c r="E68" s="8">
        <f t="shared" si="6"/>
        <v>3.8409800455200663E-2</v>
      </c>
    </row>
    <row r="69" spans="1:5" x14ac:dyDescent="0.45">
      <c r="A69" s="10">
        <v>41152</v>
      </c>
      <c r="B69" s="8">
        <v>9.3538999999999997E-2</v>
      </c>
      <c r="C69" s="8">
        <v>8.2341999999999999E-2</v>
      </c>
      <c r="D69" s="8">
        <v>5.2595999999999997E-2</v>
      </c>
      <c r="E69" s="8">
        <f t="shared" si="6"/>
        <v>8.3111000929226464E-2</v>
      </c>
    </row>
    <row r="70" spans="1:5" x14ac:dyDescent="0.45">
      <c r="A70" s="10">
        <v>41180</v>
      </c>
      <c r="B70" s="8">
        <v>2.8029999999999999E-3</v>
      </c>
      <c r="C70" s="8">
        <v>0.101315</v>
      </c>
      <c r="D70" s="8">
        <v>-3.4393E-2</v>
      </c>
      <c r="E70" s="8">
        <f t="shared" si="6"/>
        <v>1.5066200027845306E-2</v>
      </c>
    </row>
    <row r="71" spans="1:5" x14ac:dyDescent="0.45">
      <c r="A71" s="10">
        <v>41213</v>
      </c>
      <c r="B71" s="8">
        <v>-0.10760699999999999</v>
      </c>
      <c r="C71" s="8">
        <v>-9.8346000000000003E-2</v>
      </c>
      <c r="D71" s="8">
        <v>-4.0994999999999997E-2</v>
      </c>
      <c r="E71" s="8">
        <f t="shared" si="6"/>
        <v>-9.2432401068979458E-2</v>
      </c>
    </row>
    <row r="72" spans="1:5" x14ac:dyDescent="0.45">
      <c r="A72" s="10">
        <v>41243</v>
      </c>
      <c r="B72" s="8">
        <v>-1.2413E-2</v>
      </c>
      <c r="C72" s="8">
        <v>2.6564999999999998E-2</v>
      </c>
      <c r="D72" s="8">
        <v>-5.9389999999999998E-2</v>
      </c>
      <c r="E72" s="8">
        <f t="shared" si="6"/>
        <v>-1.4012800123312071E-2</v>
      </c>
    </row>
    <row r="73" spans="1:5" x14ac:dyDescent="0.45">
      <c r="A73" s="10">
        <v>41274</v>
      </c>
      <c r="B73" s="8">
        <v>-9.0737999999999999E-2</v>
      </c>
      <c r="C73" s="8">
        <v>1.2900999999999999E-2</v>
      </c>
      <c r="D73" s="8">
        <v>3.558E-3</v>
      </c>
      <c r="E73" s="8">
        <f t="shared" si="6"/>
        <v>-5.1151000901401018E-2</v>
      </c>
    </row>
    <row r="74" spans="1:5" x14ac:dyDescent="0.45">
      <c r="A74" s="10">
        <v>41305</v>
      </c>
      <c r="B74" s="8">
        <v>-0.144094</v>
      </c>
      <c r="C74" s="8">
        <v>6.8293999999999994E-2</v>
      </c>
      <c r="D74" s="8">
        <v>2.7716999999999999E-2</v>
      </c>
      <c r="E74" s="8">
        <f t="shared" si="6"/>
        <v>-6.725420143144524E-2</v>
      </c>
    </row>
    <row r="75" spans="1:5" x14ac:dyDescent="0.45">
      <c r="A75" s="10">
        <v>41333</v>
      </c>
      <c r="B75" s="8">
        <v>-2.5115999999999999E-2</v>
      </c>
      <c r="C75" s="8">
        <v>6.0222999999999999E-2</v>
      </c>
      <c r="D75" s="8">
        <v>2.1128999999999998E-2</v>
      </c>
      <c r="E75" s="8">
        <f t="shared" si="6"/>
        <v>1.2007997504949654E-3</v>
      </c>
    </row>
    <row r="76" spans="1:5" x14ac:dyDescent="0.45">
      <c r="A76" s="10">
        <v>41361</v>
      </c>
      <c r="B76" s="8">
        <v>2.8549999999999999E-3</v>
      </c>
      <c r="C76" s="8">
        <v>-8.7519999999999994E-3</v>
      </c>
      <c r="D76" s="8">
        <v>2.8957E-2</v>
      </c>
      <c r="E76" s="8">
        <f t="shared" si="6"/>
        <v>5.7540000283618758E-3</v>
      </c>
    </row>
    <row r="77" spans="1:5" x14ac:dyDescent="0.45">
      <c r="A77" s="10">
        <v>41394</v>
      </c>
      <c r="B77" s="8">
        <v>2.7099999999999997E-4</v>
      </c>
      <c r="C77" s="8">
        <v>3.8254999999999997E-2</v>
      </c>
      <c r="D77" s="8">
        <v>0.15714</v>
      </c>
      <c r="E77" s="8">
        <f t="shared" si="6"/>
        <v>3.9241600002692147E-2</v>
      </c>
    </row>
    <row r="78" spans="1:5" x14ac:dyDescent="0.45">
      <c r="A78" s="10">
        <v>41425</v>
      </c>
      <c r="B78" s="8">
        <v>2.2596000000000002E-2</v>
      </c>
      <c r="C78" s="8">
        <v>5.6572999999999998E-2</v>
      </c>
      <c r="D78" s="8">
        <v>6.1329000000000002E-2</v>
      </c>
      <c r="E78" s="8">
        <f t="shared" si="6"/>
        <v>3.7138000224471085E-2</v>
      </c>
    </row>
    <row r="79" spans="1:5" x14ac:dyDescent="0.45">
      <c r="A79" s="10">
        <v>41453</v>
      </c>
      <c r="B79" s="8">
        <v>-0.11830300000000001</v>
      </c>
      <c r="C79" s="8">
        <v>1.0505E-2</v>
      </c>
      <c r="D79" s="8">
        <v>-1.0172E-2</v>
      </c>
      <c r="E79" s="8">
        <f t="shared" si="6"/>
        <v>-7.0915201175234685E-2</v>
      </c>
    </row>
    <row r="80" spans="1:5" x14ac:dyDescent="0.45">
      <c r="A80" s="10">
        <v>41486</v>
      </c>
      <c r="B80" s="8">
        <v>0.14122499999999999</v>
      </c>
      <c r="C80" s="8">
        <v>8.3829999999999998E-3</v>
      </c>
      <c r="D80" s="8">
        <v>-7.8303999999999999E-2</v>
      </c>
      <c r="E80" s="8">
        <f t="shared" si="6"/>
        <v>7.0750801402944277E-2</v>
      </c>
    </row>
    <row r="81" spans="1:5" x14ac:dyDescent="0.45">
      <c r="A81" s="10">
        <v>41516</v>
      </c>
      <c r="B81" s="8">
        <v>8.3389000000000005E-2</v>
      </c>
      <c r="C81" s="8">
        <v>-4.6015E-2</v>
      </c>
      <c r="D81" s="8">
        <v>5.6218999999999998E-2</v>
      </c>
      <c r="E81" s="8">
        <f t="shared" si="6"/>
        <v>5.2074200828395263E-2</v>
      </c>
    </row>
    <row r="82" spans="1:5" x14ac:dyDescent="0.45">
      <c r="A82" s="10">
        <v>41547</v>
      </c>
      <c r="B82" s="8">
        <v>-2.1481E-2</v>
      </c>
      <c r="C82" s="8">
        <v>3.4254E-2</v>
      </c>
      <c r="D82" s="8">
        <v>-3.5929999999999998E-3</v>
      </c>
      <c r="E82" s="8">
        <f t="shared" si="6"/>
        <v>-6.7564002133945547E-3</v>
      </c>
    </row>
    <row r="83" spans="1:5" x14ac:dyDescent="0.45">
      <c r="A83" s="10">
        <v>41578</v>
      </c>
      <c r="B83" s="8">
        <v>9.6385999999999999E-2</v>
      </c>
      <c r="C83" s="8">
        <v>0.17658199999999999</v>
      </c>
      <c r="D83" s="8">
        <v>6.3852000000000006E-2</v>
      </c>
      <c r="E83" s="8">
        <f t="shared" si="6"/>
        <v>0.10591840095750886</v>
      </c>
    </row>
    <row r="84" spans="1:5" x14ac:dyDescent="0.45">
      <c r="A84" s="10">
        <v>41607</v>
      </c>
      <c r="B84" s="8">
        <v>6.9672999999999999E-2</v>
      </c>
      <c r="C84" s="8">
        <v>2.8149E-2</v>
      </c>
      <c r="D84" s="8">
        <v>8.4875000000000006E-2</v>
      </c>
      <c r="E84" s="8">
        <f t="shared" si="6"/>
        <v>6.4408600692139051E-2</v>
      </c>
    </row>
    <row r="85" spans="1:5" x14ac:dyDescent="0.45">
      <c r="A85" s="10">
        <v>41639</v>
      </c>
      <c r="B85" s="8">
        <v>8.9020000000000002E-3</v>
      </c>
      <c r="C85" s="8">
        <v>5.7682999999999998E-2</v>
      </c>
      <c r="D85" s="8">
        <v>-1.8883E-2</v>
      </c>
      <c r="E85" s="8">
        <f t="shared" si="6"/>
        <v>1.3101200088433422E-2</v>
      </c>
    </row>
    <row r="86" spans="1:5" x14ac:dyDescent="0.45">
      <c r="A86" s="10">
        <v>41670</v>
      </c>
      <c r="B86" s="8">
        <v>-0.107697</v>
      </c>
      <c r="C86" s="8">
        <v>5.3768999999999997E-2</v>
      </c>
      <c r="D86" s="8">
        <v>1.1494000000000001E-2</v>
      </c>
      <c r="E86" s="8">
        <f t="shared" si="6"/>
        <v>-5.156560106987354E-2</v>
      </c>
    </row>
    <row r="87" spans="1:5" x14ac:dyDescent="0.45">
      <c r="A87" s="10">
        <v>41698</v>
      </c>
      <c r="B87" s="8">
        <v>5.7311000000000001E-2</v>
      </c>
      <c r="C87" s="8">
        <v>2.9366E-2</v>
      </c>
      <c r="D87" s="8">
        <v>1.9820000000000001E-2</v>
      </c>
      <c r="E87" s="8">
        <f t="shared" si="6"/>
        <v>4.4223800569333623E-2</v>
      </c>
    </row>
    <row r="88" spans="1:5" x14ac:dyDescent="0.45">
      <c r="A88" s="10">
        <v>41729</v>
      </c>
      <c r="B88" s="8">
        <v>1.9952999999999999E-2</v>
      </c>
      <c r="C88" s="8">
        <v>-8.3197999999999994E-2</v>
      </c>
      <c r="D88" s="8">
        <v>6.9956000000000004E-2</v>
      </c>
      <c r="E88" s="8">
        <f t="shared" si="6"/>
        <v>9.3234001982152419E-3</v>
      </c>
    </row>
    <row r="89" spans="1:5" x14ac:dyDescent="0.45">
      <c r="A89" s="10">
        <v>41759</v>
      </c>
      <c r="B89" s="8">
        <v>9.9395999999999998E-2</v>
      </c>
      <c r="C89" s="8">
        <v>-4.1640000000000003E-2</v>
      </c>
      <c r="D89" s="8">
        <v>-1.4394000000000001E-2</v>
      </c>
      <c r="E89" s="8">
        <f t="shared" si="6"/>
        <v>4.8430800987410511E-2</v>
      </c>
    </row>
    <row r="90" spans="1:5" x14ac:dyDescent="0.45">
      <c r="A90" s="10">
        <v>41789</v>
      </c>
      <c r="B90" s="8">
        <v>7.8293000000000001E-2</v>
      </c>
      <c r="C90" s="8">
        <v>6.8744E-2</v>
      </c>
      <c r="D90" s="8">
        <v>2.0296999999999999E-2</v>
      </c>
      <c r="E90" s="8">
        <f t="shared" si="6"/>
        <v>6.478400077777105E-2</v>
      </c>
    </row>
    <row r="91" spans="1:5" x14ac:dyDescent="0.45">
      <c r="A91" s="10">
        <v>41820</v>
      </c>
      <c r="B91" s="8">
        <v>2.7661999999999999E-2</v>
      </c>
      <c r="C91" s="8">
        <v>2.2776000000000001E-2</v>
      </c>
      <c r="D91" s="8">
        <v>1.8564000000000001E-2</v>
      </c>
      <c r="E91" s="8">
        <f t="shared" si="6"/>
        <v>2.4865200274797272E-2</v>
      </c>
    </row>
    <row r="92" spans="1:5" x14ac:dyDescent="0.45">
      <c r="A92" s="10">
        <v>41851</v>
      </c>
      <c r="B92" s="8">
        <v>2.8731E-2</v>
      </c>
      <c r="C92" s="8">
        <v>-8.7569999999999992E-3</v>
      </c>
      <c r="D92" s="8">
        <v>3.5012000000000001E-2</v>
      </c>
      <c r="E92" s="8">
        <f t="shared" si="6"/>
        <v>2.2489600285416834E-2</v>
      </c>
    </row>
    <row r="93" spans="1:5" x14ac:dyDescent="0.45">
      <c r="A93" s="10">
        <v>41880</v>
      </c>
      <c r="B93" s="8">
        <v>7.7091999999999994E-2</v>
      </c>
      <c r="C93" s="8">
        <v>4.849E-3</v>
      </c>
      <c r="D93" s="8">
        <v>5.9082000000000003E-2</v>
      </c>
      <c r="E93" s="8">
        <f t="shared" si="6"/>
        <v>5.9041400765840191E-2</v>
      </c>
    </row>
    <row r="94" spans="1:5" x14ac:dyDescent="0.45">
      <c r="A94" s="10">
        <v>41912</v>
      </c>
      <c r="B94" s="8">
        <v>-1.7073000000000001E-2</v>
      </c>
      <c r="C94" s="8">
        <v>1.0389000000000001E-2</v>
      </c>
      <c r="D94" s="8">
        <v>2.0471E-2</v>
      </c>
      <c r="E94" s="8">
        <f t="shared" si="6"/>
        <v>-4.0718001696050136E-3</v>
      </c>
    </row>
    <row r="95" spans="1:5" x14ac:dyDescent="0.45">
      <c r="A95" s="10">
        <v>41943</v>
      </c>
      <c r="B95" s="8">
        <v>7.1959999999999996E-2</v>
      </c>
      <c r="C95" s="8">
        <v>-3.4908000000000002E-2</v>
      </c>
      <c r="D95" s="8">
        <v>1.2725999999999999E-2</v>
      </c>
      <c r="E95" s="8">
        <f t="shared" si="6"/>
        <v>3.8739600714858352E-2</v>
      </c>
    </row>
    <row r="96" spans="1:5" x14ac:dyDescent="0.45">
      <c r="A96" s="10">
        <v>41971</v>
      </c>
      <c r="B96" s="8">
        <v>0.105556</v>
      </c>
      <c r="C96" s="8">
        <v>-3.3089E-2</v>
      </c>
      <c r="D96" s="8">
        <v>2.4920000000000001E-2</v>
      </c>
      <c r="E96" s="8">
        <f t="shared" si="6"/>
        <v>6.1699801048604612E-2</v>
      </c>
    </row>
    <row r="97" spans="1:5" x14ac:dyDescent="0.45">
      <c r="A97" s="10">
        <v>42004</v>
      </c>
      <c r="B97" s="8">
        <v>-7.1890999999999997E-2</v>
      </c>
      <c r="C97" s="8">
        <v>-3.3547E-2</v>
      </c>
      <c r="D97" s="8">
        <v>-2.8445999999999999E-2</v>
      </c>
      <c r="E97" s="8">
        <f t="shared" si="6"/>
        <v>-5.5533200714172899E-2</v>
      </c>
    </row>
    <row r="98" spans="1:5" x14ac:dyDescent="0.45">
      <c r="A98" s="10">
        <v>42034</v>
      </c>
      <c r="B98" s="8">
        <v>6.1423999999999999E-2</v>
      </c>
      <c r="C98" s="8">
        <v>1.2984000000000001E-2</v>
      </c>
      <c r="D98" s="8">
        <v>-0.130248</v>
      </c>
      <c r="E98" s="8">
        <f t="shared" si="6"/>
        <v>1.3401600610192601E-2</v>
      </c>
    </row>
    <row r="99" spans="1:5" x14ac:dyDescent="0.45">
      <c r="A99" s="10">
        <v>42062</v>
      </c>
      <c r="B99" s="8">
        <v>0.10046099999999999</v>
      </c>
      <c r="C99" s="8">
        <v>4.6656000000000003E-2</v>
      </c>
      <c r="D99" s="8">
        <v>9.3068999999999999E-2</v>
      </c>
      <c r="E99" s="8">
        <f t="shared" si="6"/>
        <v>8.822160099799034E-2</v>
      </c>
    </row>
    <row r="100" spans="1:5" x14ac:dyDescent="0.45">
      <c r="A100" s="10">
        <v>42094</v>
      </c>
      <c r="B100" s="8">
        <v>-3.1371999999999997E-2</v>
      </c>
      <c r="C100" s="8">
        <v>-1.4095E-2</v>
      </c>
      <c r="D100" s="8">
        <v>-7.2861999999999996E-2</v>
      </c>
      <c r="E100" s="8">
        <f t="shared" si="6"/>
        <v>-3.6214600311652807E-2</v>
      </c>
    </row>
    <row r="101" spans="1:5" x14ac:dyDescent="0.45">
      <c r="A101" s="10">
        <v>42124</v>
      </c>
      <c r="B101" s="8">
        <v>5.7860000000000003E-3</v>
      </c>
      <c r="C101" s="8">
        <v>-1.069E-2</v>
      </c>
      <c r="D101" s="8">
        <v>0.196409</v>
      </c>
      <c r="E101" s="8">
        <f t="shared" si="6"/>
        <v>4.0615400057478747E-2</v>
      </c>
    </row>
    <row r="102" spans="1:5" x14ac:dyDescent="0.45">
      <c r="A102" s="10">
        <v>42153</v>
      </c>
      <c r="B102" s="8">
        <v>4.5145999999999999E-2</v>
      </c>
      <c r="C102" s="8">
        <v>-6.2870000000000001E-3</v>
      </c>
      <c r="D102" s="8">
        <v>-3.0221999999999999E-2</v>
      </c>
      <c r="E102" s="8">
        <f t="shared" si="6"/>
        <v>1.9785800448485207E-2</v>
      </c>
    </row>
    <row r="103" spans="1:5" x14ac:dyDescent="0.45">
      <c r="A103" s="10">
        <v>42185</v>
      </c>
      <c r="B103" s="8">
        <v>-3.7266000000000001E-2</v>
      </c>
      <c r="C103" s="8">
        <v>-9.6819999999999996E-3</v>
      </c>
      <c r="D103" s="8">
        <v>-5.7832000000000001E-2</v>
      </c>
      <c r="E103" s="8">
        <f t="shared" si="6"/>
        <v>-3.5862400370204439E-2</v>
      </c>
    </row>
    <row r="104" spans="1:5" x14ac:dyDescent="0.45">
      <c r="A104" s="10">
        <v>42216</v>
      </c>
      <c r="B104" s="8">
        <v>-3.2888000000000001E-2</v>
      </c>
      <c r="C104" s="8">
        <v>0.217502</v>
      </c>
      <c r="D104" s="8">
        <v>5.7757999999999997E-2</v>
      </c>
      <c r="E104" s="8">
        <f t="shared" si="6"/>
        <v>3.5319199673287081E-2</v>
      </c>
    </row>
    <row r="105" spans="1:5" x14ac:dyDescent="0.45">
      <c r="A105" s="10">
        <v>42247</v>
      </c>
      <c r="B105" s="8">
        <v>-6.6116999999999995E-2</v>
      </c>
      <c r="C105" s="8">
        <v>-1.4722000000000001E-2</v>
      </c>
      <c r="D105" s="8">
        <v>-6.1455999999999997E-2</v>
      </c>
      <c r="E105" s="8">
        <f t="shared" si="6"/>
        <v>-5.4905800656813365E-2</v>
      </c>
    </row>
    <row r="106" spans="1:5" x14ac:dyDescent="0.45">
      <c r="A106" s="10">
        <v>42277</v>
      </c>
      <c r="B106" s="8">
        <v>-2.1815999999999999E-2</v>
      </c>
      <c r="C106" s="8">
        <v>-1.4586999999999999E-2</v>
      </c>
      <c r="D106" s="8">
        <v>1.7003999999999998E-2</v>
      </c>
      <c r="E106" s="8">
        <f t="shared" si="6"/>
        <v>-1.2606200216722482E-2</v>
      </c>
    </row>
    <row r="107" spans="1:5" x14ac:dyDescent="0.45">
      <c r="A107" s="10">
        <v>42307</v>
      </c>
      <c r="B107" s="8">
        <v>8.3408999999999997E-2</v>
      </c>
      <c r="C107" s="8">
        <v>0.155114</v>
      </c>
      <c r="D107" s="8">
        <v>0.189336</v>
      </c>
      <c r="E107" s="8">
        <f t="shared" si="6"/>
        <v>0.11893540082859395</v>
      </c>
    </row>
    <row r="108" spans="1:5" x14ac:dyDescent="0.45">
      <c r="A108" s="10">
        <v>42338</v>
      </c>
      <c r="B108" s="8">
        <v>-5.6899999999999997E-3</v>
      </c>
      <c r="C108" s="8">
        <v>3.4527000000000002E-2</v>
      </c>
      <c r="D108" s="8">
        <v>3.9323999999999998E-2</v>
      </c>
      <c r="E108" s="8">
        <f t="shared" si="6"/>
        <v>1.1356199943474931E-2</v>
      </c>
    </row>
    <row r="109" spans="1:5" x14ac:dyDescent="0.45">
      <c r="A109" s="10">
        <v>42369</v>
      </c>
      <c r="B109" s="8">
        <v>-0.11022800000000001</v>
      </c>
      <c r="C109" s="8">
        <v>1.9872999999999998E-2</v>
      </c>
      <c r="D109" s="8">
        <v>2.0791E-2</v>
      </c>
      <c r="E109" s="8">
        <f t="shared" si="6"/>
        <v>-5.8004001095016765E-2</v>
      </c>
    </row>
    <row r="110" spans="1:5" x14ac:dyDescent="0.45">
      <c r="A110" s="10">
        <v>42398</v>
      </c>
      <c r="B110" s="8">
        <v>-7.5242000000000003E-2</v>
      </c>
      <c r="C110" s="8">
        <v>-2.1413999999999999E-2</v>
      </c>
      <c r="D110" s="8">
        <v>-7.0299999999999998E-3</v>
      </c>
      <c r="E110" s="8">
        <f t="shared" si="6"/>
        <v>-5.0834000747462089E-2</v>
      </c>
    </row>
    <row r="111" spans="1:5" x14ac:dyDescent="0.45">
      <c r="A111" s="10">
        <v>42429</v>
      </c>
      <c r="B111" s="8">
        <v>-1.335E-3</v>
      </c>
      <c r="C111" s="8">
        <v>-5.7963000000000001E-2</v>
      </c>
      <c r="D111" s="8">
        <v>-6.9886000000000004E-2</v>
      </c>
      <c r="E111" s="8">
        <f t="shared" si="6"/>
        <v>-2.6370800013262037E-2</v>
      </c>
    </row>
    <row r="112" spans="1:5" x14ac:dyDescent="0.45">
      <c r="A112" s="10">
        <v>42460</v>
      </c>
      <c r="B112" s="8">
        <v>0.12721099999999999</v>
      </c>
      <c r="C112" s="8">
        <v>6.3689999999999997E-2</v>
      </c>
      <c r="D112" s="8">
        <v>8.5495000000000002E-2</v>
      </c>
      <c r="E112" s="8">
        <f t="shared" si="6"/>
        <v>0.1061636012637277</v>
      </c>
    </row>
    <row r="113" spans="1:5" x14ac:dyDescent="0.45">
      <c r="A113" s="10">
        <v>42489</v>
      </c>
      <c r="B113" s="8">
        <v>-0.13992099999999999</v>
      </c>
      <c r="C113" s="8">
        <v>-7.2120000000000004E-2</v>
      </c>
      <c r="D113" s="8">
        <v>-9.7048999999999996E-2</v>
      </c>
      <c r="E113" s="8">
        <f t="shared" si="6"/>
        <v>-0.11778640138999022</v>
      </c>
    </row>
    <row r="114" spans="1:5" x14ac:dyDescent="0.45">
      <c r="A114" s="10">
        <v>42521</v>
      </c>
      <c r="B114" s="8">
        <v>7.1368000000000001E-2</v>
      </c>
      <c r="C114" s="8">
        <v>5.7876999999999998E-2</v>
      </c>
      <c r="D114" s="8">
        <v>6.9982000000000003E-2</v>
      </c>
      <c r="E114" s="8">
        <f t="shared" si="6"/>
        <v>6.8392600708977361E-2</v>
      </c>
    </row>
    <row r="115" spans="1:5" x14ac:dyDescent="0.45">
      <c r="A115" s="10">
        <v>42551</v>
      </c>
      <c r="B115" s="8">
        <v>-4.2659999999999997E-2</v>
      </c>
      <c r="C115" s="8">
        <v>-6.0519000000000003E-2</v>
      </c>
      <c r="D115" s="8">
        <v>-3.4528000000000003E-2</v>
      </c>
      <c r="E115" s="8">
        <f t="shared" si="6"/>
        <v>-4.4605400423789007E-2</v>
      </c>
    </row>
    <row r="116" spans="1:5" x14ac:dyDescent="0.45">
      <c r="A116" s="10">
        <v>42580</v>
      </c>
      <c r="B116" s="8">
        <v>9.0063000000000004E-2</v>
      </c>
      <c r="C116" s="8">
        <v>0.12481299999999999</v>
      </c>
      <c r="D116" s="8">
        <v>0.10768</v>
      </c>
      <c r="E116" s="8">
        <f t="shared" si="6"/>
        <v>0.1005364008946955</v>
      </c>
    </row>
    <row r="117" spans="1:5" x14ac:dyDescent="0.45">
      <c r="A117" s="10">
        <v>42613</v>
      </c>
      <c r="B117" s="8">
        <v>2.3605999999999999E-2</v>
      </c>
      <c r="C117" s="8">
        <v>-1.8829999999999999E-3</v>
      </c>
      <c r="D117" s="8">
        <v>2.0112999999999999E-2</v>
      </c>
      <c r="E117" s="8">
        <f t="shared" si="6"/>
        <v>1.7809600234504536E-2</v>
      </c>
    </row>
    <row r="118" spans="1:5" x14ac:dyDescent="0.45">
      <c r="A118" s="10">
        <v>42643</v>
      </c>
      <c r="B118" s="8">
        <v>6.5504000000000007E-2</v>
      </c>
      <c r="C118" s="8">
        <v>1.7991E-2</v>
      </c>
      <c r="D118" s="8">
        <v>2.4359999999999998E-3</v>
      </c>
      <c r="E118" s="8">
        <f t="shared" si="6"/>
        <v>4.3387800650723764E-2</v>
      </c>
    </row>
    <row r="119" spans="1:5" x14ac:dyDescent="0.45">
      <c r="A119" s="10">
        <v>42674</v>
      </c>
      <c r="B119" s="8">
        <v>4.3340000000000002E-3</v>
      </c>
      <c r="C119" s="8">
        <v>7.2630000000000004E-3</v>
      </c>
      <c r="D119" s="8">
        <v>4.0278000000000001E-2</v>
      </c>
      <c r="E119" s="8">
        <f t="shared" si="6"/>
        <v>1.2108600043054422E-2</v>
      </c>
    </row>
    <row r="120" spans="1:5" x14ac:dyDescent="0.45">
      <c r="A120" s="10">
        <v>42704</v>
      </c>
      <c r="B120" s="8">
        <v>-2.1578E-2</v>
      </c>
      <c r="C120" s="8">
        <v>-4.2005000000000001E-2</v>
      </c>
      <c r="D120" s="8">
        <v>1.2182999999999999E-2</v>
      </c>
      <c r="E120" s="8">
        <f t="shared" si="6"/>
        <v>-1.8911200214358163E-2</v>
      </c>
    </row>
    <row r="121" spans="1:5" x14ac:dyDescent="0.45">
      <c r="A121" s="10">
        <v>42734</v>
      </c>
      <c r="B121" s="8">
        <v>4.7954999999999998E-2</v>
      </c>
      <c r="C121" s="8">
        <v>2.1356E-2</v>
      </c>
      <c r="D121" s="8">
        <v>3.1198E-2</v>
      </c>
      <c r="E121" s="8">
        <f t="shared" si="6"/>
        <v>3.9283800476390109E-2</v>
      </c>
    </row>
  </sheetData>
  <pageMargins left="0.7" right="0.7" top="0.75" bottom="0.75" header="0.3" footer="0.3"/>
  <pageSetup orientation="portrait" r:id="rId1"/>
  <ignoredErrors>
    <ignoredError sqref="E2:E1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Problems 1-4</vt:lpstr>
      <vt:lpstr>Problems 5-8</vt:lpstr>
      <vt:lpstr>Problems 9-10</vt:lpstr>
      <vt:lpstr>Problem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2023-05-08T13:05:28Z</dcterms:created>
  <dcterms:modified xsi:type="dcterms:W3CDTF">2024-02-19T18:04:41Z</dcterms:modified>
</cp:coreProperties>
</file>