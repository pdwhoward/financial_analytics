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mc:AlternateContent xmlns:mc="http://schemas.openxmlformats.org/markup-compatibility/2006">
    <mc:Choice Requires="x15">
      <x15ac:absPath xmlns:x15ac="http://schemas.microsoft.com/office/spreadsheetml/2010/11/ac" url="C:\Users\pdwho\Dropbox\Courses\Teaching\Financial Analytics\Course\6 - Discounted Cash Flow &amp; Real Options\4 - Exercises\2 - Case\"/>
    </mc:Choice>
  </mc:AlternateContent>
  <xr:revisionPtr revIDLastSave="0" documentId="13_ncr:1_{9421E270-C334-41F4-8664-96A1A9160BDA}" xr6:coauthVersionLast="47" xr6:coauthVersionMax="47" xr10:uidLastSave="{00000000-0000-0000-0000-000000000000}"/>
  <bookViews>
    <workbookView xWindow="-98" yWindow="-98" windowWidth="17115" windowHeight="10876" firstSheet="1" activeTab="1" xr2:uid="{6394BC74-EAE9-47A1-8528-22ED1E30B107}"/>
  </bookViews>
  <sheets>
    <sheet name="CB_DATA_" sheetId="3" state="veryHidden" r:id="rId1"/>
    <sheet name="Case" sheetId="5" r:id="rId2"/>
    <sheet name="Project Analysis" sheetId="2" r:id="rId3"/>
  </sheets>
  <definedNames>
    <definedName name="CB_Block_00000000000000000000000000000000" localSheetId="2" hidden="1">"'7.0.0.0"</definedName>
    <definedName name="CB_Block_00000000000000000000000000000001" localSheetId="0" hidden="1">"'638477490496120217"</definedName>
    <definedName name="CB_Block_00000000000000000000000000000001" localSheetId="2" hidden="1">"'638477488617011662"</definedName>
    <definedName name="CB_Block_00000000000000000000000000000003" localSheetId="2" hidden="1">"'11.1.5072.0"</definedName>
    <definedName name="CB_BlockExt_00000000000000000000000000000003" localSheetId="2" hidden="1">"'11.1.3.0.000"</definedName>
    <definedName name="CBWorkbookPriority" localSheetId="0" hidden="1">-2980683345670970</definedName>
    <definedName name="CBx_4c2ac65c27c0496bb7fa628d4569dd03" localSheetId="0" hidden="1">"'CB_DATA_'!$A$1"</definedName>
    <definedName name="CBx_ce0d1592cf01493e9d4495460fecd127" localSheetId="0" hidden="1">"'Project Analysis'!$A$1"</definedName>
    <definedName name="CBx_Sheet_Guid" localSheetId="0" hidden="1">"'4c2ac65c-27c0-496b-b7fa-628d4569dd03"</definedName>
    <definedName name="CBx_Sheet_Guid" localSheetId="2" hidden="1">"'ce0d1592-cf01-493e-9d44-95460fecd127"</definedName>
    <definedName name="CBx_SheetRef" localSheetId="0" hidden="1">CB_DATA_!$A$14</definedName>
    <definedName name="CBx_SheetRef" localSheetId="2" hidden="1">CB_DATA_!$B$14</definedName>
    <definedName name="CBx_StorageType" localSheetId="0" hidden="1">2</definedName>
    <definedName name="CBx_StorageType" localSheetId="2" hidden="1">2</definedName>
    <definedName name="rho">'Project Analysis'!#REF!</definedName>
    <definedName name="solver_eng" localSheetId="2" hidden="1">1</definedName>
    <definedName name="solver_neg" localSheetId="2" hidden="1">1</definedName>
    <definedName name="solver_num" localSheetId="2" hidden="1">0</definedName>
    <definedName name="solver_typ" localSheetId="2" hidden="1">1</definedName>
    <definedName name="solver_val" localSheetId="2" hidden="1">0</definedName>
    <definedName name="solver_ver" localSheetId="2"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3" l="1"/>
  <c r="A11" i="3"/>
</calcChain>
</file>

<file path=xl/sharedStrings.xml><?xml version="1.0" encoding="utf-8"?>
<sst xmlns="http://schemas.openxmlformats.org/spreadsheetml/2006/main" count="126" uniqueCount="99">
  <si>
    <t>Cash</t>
  </si>
  <si>
    <t>Net Fixed Assets</t>
  </si>
  <si>
    <t>Total Assets</t>
  </si>
  <si>
    <t>Assets</t>
  </si>
  <si>
    <t>Equity</t>
  </si>
  <si>
    <t>Income Statement</t>
  </si>
  <si>
    <t>Sales</t>
  </si>
  <si>
    <t>- Depreciation</t>
  </si>
  <si>
    <t>EBIT</t>
  </si>
  <si>
    <t>- Interest</t>
  </si>
  <si>
    <t>= EBT</t>
  </si>
  <si>
    <t>- Tax</t>
  </si>
  <si>
    <t>= Net Income</t>
  </si>
  <si>
    <t>Tax Rate</t>
  </si>
  <si>
    <t>Interest Rate</t>
  </si>
  <si>
    <t>Working Capital Requirements</t>
  </si>
  <si>
    <t>Free Cash Flow</t>
  </si>
  <si>
    <t>+ Depreciation</t>
  </si>
  <si>
    <t>- Change WCR</t>
  </si>
  <si>
    <t>- Net Capital Expenditures</t>
  </si>
  <si>
    <t>- Cash Tax</t>
  </si>
  <si>
    <t>Cash / Sales</t>
  </si>
  <si>
    <t>Gross Profit Margin</t>
  </si>
  <si>
    <t>Sales Growth</t>
  </si>
  <si>
    <t>Managerial Balance Sheet</t>
  </si>
  <si>
    <t>WACC</t>
  </si>
  <si>
    <t>Total Debt &amp; Equity</t>
  </si>
  <si>
    <t>Terminal Value</t>
  </si>
  <si>
    <t>Total Free Cash Flow</t>
  </si>
  <si>
    <t>WCR / Sales</t>
  </si>
  <si>
    <t>NFA / Sales</t>
  </si>
  <si>
    <t>Debt &amp; Equity</t>
  </si>
  <si>
    <t>Residual</t>
  </si>
  <si>
    <t>Debt / Assets</t>
  </si>
  <si>
    <t>Equity / Assets</t>
  </si>
  <si>
    <t>Long-run FCF Growth Rate</t>
  </si>
  <si>
    <t>Assumptions</t>
  </si>
  <si>
    <t>Debt</t>
  </si>
  <si>
    <t>Depreciation / NFA</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</si>
  <si>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</si>
  <si>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</si>
  <si>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</si>
  <si>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</si>
  <si>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</si>
  <si>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</si>
  <si>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</si>
  <si>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</si>
  <si>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</si>
  <si>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</si>
  <si>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</si>
  <si>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</si>
  <si>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4c2ac65c-27c0-496b-b7fa-628d4569dd03</t>
  </si>
  <si>
    <t>CB_Block_0</t>
  </si>
  <si>
    <t>㜸〱敤㕣㕢㙣ㅣ㔷ㄹ摥㌳摥㕤敦慣敤搸㡤搳㑢㐲㘹つ愵ㄴ敡攰挶㘹㐳㈹㄰㠲㉦戹ㄵ㈷㜶㘳㈷〵〱摡㡣㜷捦挴搳散捣戸㌳戳㑥㕣㉡戵㠲㤶㡢戸㐹摣㐴愱㕣㔴愱㑡㝤攱昶〰㉤昰㔲〹〹〴㐵昰〰て〸ㅥち㐲昰〰㐲㤱㜸攱〱〹扥敦捣捣敥捣慥㜷散㙥㕢㜰㤱㑦扡扦捦㥣摢㥣㜳晥敢昹晦㌳捤㠹㕣㉥昷㙦㈴晥㘵捡㌳㜳晤攲扡ㅦ㐸㝢㘲挶慤搷㘵㌵戰㕣挷㥦㤸昲㍣㘳㝤捥昲㠳㍥㌴㈸㔶㉣搴晢㠵㡡㙦㍤㈰㑢㤵㌵改昹㘸㔴挸攵㑡㈵㕤㐳㍤〷攱㙦㈴㝥搰搹㙢㌰て戰㌴㌳㍤扦㝣ㅦ㐶㕤っ㕣㑦敥ㅦ㍢ㄷ昶㍤㍣㌹㌹㌱㌹㜱攸挰㥤〷㈷づ散ㅦ㥢㘹搴㠳㠶㈷て㍢戲ㄱ㜸㐶㝤晦搸㐲㘳戹㙥㔵摦㈵搷㤷摣㡢搲㌹㉣㤷て摣扥㙣摣昱㤶挹㍢づㅤ㌲敦扡敢㉤㠳㜸㜵敥昴捣昴㠲㈷㑤晦㈵ㅡ戳挰㈹摦㌱㉢慢ㄶ搷㈶愵㘷㌹ㄷ㈶㘶愶昱㕦㘲晥㜸扡㜳㘲㜱㐵捡㠰慦㤶㥥㜴慡搲搷搱㜱挰㥥昲晤㠶扤捡捤搳敤㘳㔸㙡搵昰㠳㠲㍤㈳敢㜵摤㡥㐷㉤搹昳搸扢扡戱㍥㘸㉦㑡挷户〲㙢捤ち搶㡢昶ㄲ〶慡つ搹㘷㝤㜹挶㜰㉥挸搳㠶㉤ぢ昶昱㠶㔵换㠷㈹搷㜷㑢㍣㐴㜲㘲㙡昹ㄳ㔳扥㍤戳㘲㜸㙡㐶㍥㌷㈶愳敤㌱慦㥡㙥㝢㔳昷㜱㌹㜵昵〶㡥㜹㜳昷㜶愸㌹㘷㜸捤㤶攳摤㕢㐶㡢㑦捦攰戶敥敤ㄳ㝢㤴敥昳挶敥㝤搴㔶愶㕢㡢㠱㠸扥搵㡥㘲㌱㝡㤱愰㥦愰㐴㐰〴敡㘵㠲〱㠲㐱〰㤱晦〷戸㈴搹㤱㔵㕡挵搰㉡换㕡愵慡㔵㙡㕡㐵㙡ㄵ㔳慢㕣搰㉡㉢㕡挵搲㉡昷㘹㤵㡢㘸ㄳ愷㔲㝦扦ㄶ愵㕦晥晣㜷㡦㌵㥥㍤㍡昷戹て㍣昵慣晢摤㝤㕦ㅢ摣㠵㐶昷㐴㤳㥡昵㡣㑢㈰戵ㄶㄵ㠳㈳昸㙦㜳慥〰㔳㤸㠷捣㍢捤挹挹摡愱〳挶敤㐶㠱换捡㐰㝥㡡㔰㐶搰㜶搰扣搷㜲㙡敥㈵㠵扢敢愷つ㕦戶㌶㙥㍣慡㥢㜶ㅢ㑥捤㝦搵挶㤵㡢㠱ㄱ挸㝤敤㜵慤㐱㍡扡㉤㠲慤愴慦摥㜷㐳㝢户㜳㐶扤㈱愷㉥㕢㘱昵慢摢慡敤〵捦㕤敥㕥㝢捣㤳昷㌷㙢㍢㘶㌴〵愱戶愶挶敥㔸㘵㔸ㄵ捥㙢㙣㘶挵昵愵愳愶㌷㙥㉦㔸搵㡢搲㕢㤴ㄴ㠹戲愶㤶㝡㌵慢㈲慥ㅦ㥦㜷戰㔰㜰㙢敤戵挹㔲昳攸攵〰捣㉣㙢㤸敦慡昴㠲昵㈵㘳戹㉥慦㐹㌵〹摦㠹㡡扤愹攲㘳㙥戵攱捦戸㑥攰戹昵㜴捤㔴㙤捤㠰愴愹㥤㜲㙢㌲㥦捦㈹愱〰㠱摢搷㈷㐴敥搶敥扣愰㄰㤱㐰㌱ㄹ昹扡㌴搹㑤㥣挱敡戰㡡扡㈴㑤㙡慦摢㘴㌰捥㔷挹㤸っづ㑣慣㠹晡㠳㉦㝤挳㈶挳㌶㌱昷昲㌶搶戴搱㘸昵㐷搷愴ㄳ㥣㌰㥣㕡㕤㝡㤹摡㑦㜰㐶晡㌰㐰攱ち〴㐲搷摤愳慡ㄳ㤷挵㝡攱㤲㔵ぢ㔶㡡㉢搲扡戰ㄲ愰っㅡ戲㔴攲搶㜶㈴晤㉡ㄴ改扢〹㐶〱捡攵㕣㜱てㅢㄵ换㐸戹〲愵㔳〶㉦愷〴㌹晢愵㜸㜹搰㍣㘶搵〳ㄹち攵㘱ㄳㄸ〹戵㥡㐲摦㄰㐹搴㌳慡愱挲搸㘳捥㠰㑡つ换〹搶㕢㝣摢挱㈵㈱ㄱ敤挸㠲㙤㈷ぢ㈸ち搲昲㈰㠳搷㐰㌴㙤搲㈰扢㜱㠲㠸挸〶ㄹ㥡ㅤ㈳愷㠹㡣敤㌳㘴〴摡㈷㠹㤰慤て㜴㤷ㄱ㈴昶㑥㈲㘵愷慥晣戸㈳捤㌶戲攵㐳㘹㜶㌵㌶㑥扦㠶攰㕡㠲敢〸昶〲㠸㍦㐳挲㔱捡㈱㥦㑥晡慢昰慣㕦㑦昰㙡〰挸㈷㥤㌲㈷ㄲ㔵戴愱戶㘲㐷戲摤㄰散㘴㘵ㄴ㠷愲㠸㤶㜱搳捥ㅣ戲ㄵ愲㈳慢㜳㝢攸摡扣搲戱慦敦㑥㥢挹攵㤰㈲㌳㥡㈶搷扡㐹搳攴㐶戰㘹㡦㝡敢㐶㜴搵挷〸㕥〳㔰搶㕦㑢〸攵㐲㠳㜷㙢ㄶ㍤㑤捡㔷㠴㔹ㄴㅡ㐳㍤㉡昸㠸㤰㜹〴挸㄰㜲ㅤ挷㤷ㅤㅢ㥡收攰戸昹㡡户愱昷㜷攷敦〸改㙤㝡㜳㐷敦搰㕦昴〲慤攸㥢挰㕥攲昷㕤㜵捣捤愸搶㕦㑦㜰ぢ㐰㥢㡥攱改晢㠵㝡ち㤴㔹㙣㈷㌰户㥢㕥ㄷ㘵攵㉥慤慦㑡愵㠱〶捤㈵挳扢㈰〳㜸㌰㑥捥挲ㄶ㜶㍤㑦搶㜱愸慤愹〲㥥㕦慥㑤ㄷ晡挷㍣搷㘶昹㡥㡤散扦㈲ㄴ㐳㍥慦昵攵摡㙣攴っ㕢㌳攱㜳㑡㔰づ㜵昰敤摤㠵㐴愲㔳㥡扣搸㉦晢㝣戹㈳㐹㝡㤰㈴㙦挴戶敡户〲㐰㑡㠸摦㜴㤵㈸晢搹散㑤慡㔹摡㘲愵㠷㉦攳㜴搲收㐳散㤰㈳〳愱挳㜶ㅡ晥〳㝦挸㕥戴散愶戰ㄸ戰ㄷ愴㔷㠵㙦挱慡换㜲攸㤶愵愸搹㤱ㄵ慦㄰㔹搱搷搷㜱㥥捥昰慦㈹㍡㘹㤳ㄲ㤹摣㥥㔹㤹㜱ㄶ㙦ㄱㄵ摤㤰ㄴ㉡ㄹ慥愱愶〴㈲攵戱敤㡥㠸改㐱挴摣㠶㡤搳て㄰㑣ㄲㅣ〴㈸晣〲㤲㘶慢ㅢ捦㜰㔸晦ㅡ㕤摡㤵㑡慥㐴㌴㈸ㄷ攱㜳㕤㠵搵㈱扥收捤〴㜷〲戴㤹㍦㜴㐰㘶㄰愲㐲㜹㠲㄰㔵ㄸ挳㍣㘷挹㑢愴㠱㕤㈶〲㑢㌳つ㍦㜰㙤㐶㤶㠶捣㔹昷戴ㅢ捣㕡晥㉡㈲㔱愳㘶㤴戹㜷㐵㍡愰㉥て戶㑦㕢㤹扢扡㉡㙢扡戹攸㌶㈰摡㑥捥㙥㠷㠳㌹戶〳戶愴㍡㥢㙢〲愹户昳㌱㠶㄰搸㘹攵㙦愵㌷㜶㑢摥㙦ㅥ晡㠶㕢㍢扡㘴〵㜵㌹㘰㠶㑣挷㝣挹挴㉥㈲㜲㔰敢㌷㤷㔶㍣㈹㘷㠷捣攳㥥㔵慢㕢㡥㈴㌲㘰㘳㌲㔸㌷㈷㉦㈰㑡戰攰㌲〶攸㍡㐳收㤲㘷㌸晥慡挱㠰攲晡敥搴㤳ち㡢ㄴ捣㘹换昱昱ㅡ㠵㐵收㠷捤挵ㄵ昷ㄲ㈲戶つ摢㌹㙥慣晡摢〲㉢㈴晡㌰㈹搴〸㑤㘸㥡㈸㘹愵㕥昱挳〳㜹㉥㐷摥换ㄳ㈸㕣攵ち昴㤹㘷㘸㙦摡昵㔱㡣㠶㜶㍡攷㌴㠸攸㔱戳戰㉦㔳ち㤳㔳昵扢搸攷慤〰㜷ㅦ㍦㝢戲ㄵ㤹㝢㔱㌱敢〲扤晣ㄹ㌲㕥㤱㐵㌳㄰㐲ㅦ摤慥㤰㔴㔸㐶捡〱〷〲攳㝣㙡㈷扦戲愹摡㤰晡㜶戵戲挷㄰㐹ㅡ㌴攷㡣㘵㔹㐷㍣摡㌶㠲㕤攱〳捤㔸摢愸晢㔱摤㡣㙢摢〶㐹㡢㘴戹㔸㌵㐸挱㔳㡤挰㍤㘵㌹扡〹愰攸㉦㉡㌲㉥愳挸戸慣㡡〶捤㌳っつ慡㍣挷㜲㉦ㄸ㥥ㄵ慣搸㔶戵挴〷㠶敦戶〵㑤㠲挹㈹㜹攳ㄴ换㡣戱㌶㙢晥㉣㑣㌶㝦〲攸㥥㠰ㅣ攵搶ㄱ晤愰㕣㑤ㄴ昱㑦昴攸㔸㠲㠰㔱㥥㔲晤敤ㄸ慤愰㙥㐷㐰攴愸㜴㈵扥㠳㜱攵㈱㤴㠴㐲㠸㔸捦㈰ㄱ㜸〵ㄳ㐲㥥㉥敥愲㜹搶戱〲㘰㡦ㄸ㍢㘶〵戳㍥㔰づ㠰慣㍡摥敥㔳㔸㑤㜴ㅡ㙦㙡㠵ㅢ㍢慢㔲㙡攲㠶捥晡愴摥㜸摤〶搵愱㐶㐹㈸㤲捤ㅡ㈹捤戲挱ㅣ户㤳慡ㄱ㑡㜱挷摡㐶㘴戹㑤㕢晢㑥㈹昲㈲ㄴ㤳愲㤹㥣晥づ㐵㈸〸昴㐶㍡㡡㍥晢㙣昲㐸㐴㙣㘸〳㤴愹愷挲戲愱㈸㈴㜸ㄲ搷㑥㙡戲ㅣ㍤㠱扦㜷㐵搹昹㐶㤰慡㌱㉥㡦㐶㌵㔳昵晡扣〳㉢愱㙡㜸戵㙤挲搲㔸㕢愸㘱ㄴ㜷昶慡晤挳敤㑤㌰㘲挴㠶っ㡢㘴昸㠱挱㠶㘰慥㐴㐴㤵搶搹㄰户扡㔹㕣攲搳㈹㘹㌸ち〳㡢㐱㙤㔶慥㈹㌳慣㘵挹㡦慡づ捤搳愲㤲愳扡㌹戵散㐳愵〷㤴攳㔱㑥㌱戸㙥㥥愱㕢ち㤷ㄸ㈰㜶愳摣㐲㌵㐰㘸户㌹〰㑦〶摢〷㍢搸㤱㌰㜴㐲敢㡣ㄲ戴㤸㐱戸改㐵㤰㜷㝡挴㈸〴愹愹搲摦㡦㠸㉦㍤挶昴搴㤱㕣㥣㠹㤸㠸攱慥っ敢〱挸㑤㐶㈶挹㐵愳㜱挰㍣㤴㙣㑡㘸つ挶㘵㌴㌱㠶㘸昲㜹〱㙥昱㌰㤶㌵㑣戶愹攳㥥㕢㘰㐱㥢搶搷㜷㤹㈷㥤㙡扤㔱㤳㑡ㄵ挷戲㕡㘹攴㙤㠱㉦㜵〵㌰攴愶㡣㝤㠹㌶攵㈴㡥㔲㕣㌲㤱搴扢摤慤ㅦ㐱㜷㈵攴㌰㐶愸晡ㄸ㠰捣㜰换愹㠰㔸挷㍤〵摡㠷扢㕢ㄷㄸ搴攵㌹㠸戴㡥㈲捡戲㌹摣挷㙢㐶㤱ㄵ户㈵㥡捤戹㜳㉥㙤昶㐴搱〹㉢㉣摡ㄶ㌸挲㍡㐳㠱㔷㉣挲ㄸ改㤱㍢㌸㐸敥㑡ㄴ摤扤昲㤰㝡捣㕤〱㉡ㄴ〶〴㘳扣㍣〵攵戰慢㘰㈴ㅡ摣㕡换敡ㄶ㡣晥搲昲搶愷〰〴挳挰㌴㘸搱㌲㌴㜰㘶㤰摦摣挰戹ㄱ慤㌲㈲愴挹㘰㉡㘳㤴愳㜰搸〳㘹攰㈶ㅥ愴㤷㕣㈸愱㘰㡦扡ㄸㄶ摦㑤ㅣ户㜱〴㜲扤㙢摡ちㄷ㡣〰搷㕦㥣扤㙤挵㔳戵ㅡ捤㕤昸攷戶〵㔶㜱㜵㈳㌴㐷昷戴㕤捡㔲㙢愲㝤㜷㔳㕢㐵㜴㔹昰攰散挴〹㈳愸慥㉣〶敢攱挵慤㕥㐹愲昰㈳昸㈳㌶㝣㍢㙤收扣挳㡢愸㙢摣晢昲㐵挷扤攴愸㜹ㄵ㝣摥晡〳㠵攰ち㘵㍦㈷㔹捥晤ㅢ晦㔴搲㜲㠵ㅦ㘲挴慤㑣㥢〳戴ㅣ㈴ㅣ㐷愵㔰ㅡ㡣㈱㥦㐱㈷戰摤㥢户〶㐸㈷㝢摡攸㐴〹㠲ㅤ㐲㜱㉥扣㘴㠴㈲㝥〰戴㤲㔸挲㈳㌹昶晣㐹戰扥㜸〶㈵㐴㌸㥥㈳㌱㔲㜸つ㜲ㄹ愸㔳㠲㍣扡攲挱ぢ㈱晦㍦㔸㡡戹㜹㐳㜶晡㉦㌰戳㜸扡ㅤ㐵㌷㄰㐵摦敦㐰㤱攰㌵㄰挵扦㜷㈳ㄳ愷〲挳戳㉦㈸㄰捥㌵敤ㅣ㐰㕦昶ぢ扦晦挳〳攸㕣㐴ㅣ捡㐶㐳愸敤㘶㍣㌷㑤㠴扥づㄳ㠱挱㝢㘵㈲㥣㐲㐶㌰㡡ㅦ㥡〸㤱て㘴ㅥ〵㥢㥢〸㡣敤㘵ㄸ㠲㠹㔰㙢挲慤挱ㄳ搸㌵㌶晤㘳㈷㜰昱㔶晡㠸攷㐳㘹昹㌳昰㐸㕤摢㔹扣㘰㜸㠶扤㔷㤵ㅦ昷㈴㤴㤹户㠴㥢摣慡ぢ㝢散摢戰㐶㜵摡挰㔷ㄱ㝢搹㜷晣㈹㕢扢扦づ㑣㠵㈹㜴摦㡢㤲㈸扥〸㑦㠹攰戹㈱昷㠱㍤摦㍣晥㠷〷ㅥ㌹挲摢㙡ㄱ慤ㄶ㙥㐵扥㤷㤰㍤敤〹〴㜵ㄳㄷ㐵慥收㠷㌹愷昰㠹㤲戵㕡㤷搳㠶愷慣㈰㕦户攳㙣㐸㜸〹挲っ㠹㙦㍢㤸㤸戸昷㄰㥡㤸ㄳ㙤敥㑥昵㘱㤳㜲ㄱ㑥㈴㈶慥㝣㝡㜱搸㔰㜴㔵㘴㍤㕡㥢㠵㙦㐳ㄵ扤挰㠹愴慤㐴㥥㍡㤹㠴昸㔶扢慥㍢㐴㕤ㄷㅥ㘴ㄸ昶㡦愵ㄴ攲て愴㤰攴㐱㠶ㄷ〲㤴㤴㍡㠳㑣攱㌶㠰㡣挸㕡㝢㠸㤷晥㠰ㅤ㈱㈰㥢㤷晥㝡晣㠸〵扢〸㉣挶扥昸㕥㑦戴戴㐵㘳搵挴㔰慤戲㘹ㄶ㤱㔱㠷ㄷㄶ㑣挶愵㈹㑢攷㈰㑡户散㡥攲㑢㠶散㌰昰ㄶ㌲㜶挱愶慦慤㙣ㅦ㜵ㅡ戸昹〱㍤㔳㔴ち挳搹捤㘲ㅣ㐸㔵㡣㉥㙣㕡づ㡢〸㠷挳㙣戳搳㐰㔴〵㥤攵散挵愹ㄴ挱㍦㝥㈹挴晡昱搶搰㔷户搷㔰挷㌹晤㔸㈰㝦戰扦㙥挸㘰㙣扣㤵ㅣ〳〹扢愵㔶愵昰㝡昸㔹㜴攱愲㜳㐲㙦㘵搵戳㌸㠴㍦㌱㘷昵㘹ㅤ晡㥦搱㙢挵㔹攷搸㥢㘱散㤴晥㝦㌷ち㌶搵晦㠲戱㌷㠵挸昷㐴ㄹ㍥ㄴㄸ㍦搹㌴㘴挳ㅤ㠱㘷ㅢ挱ㅢ㜵㌰搶㔵㤶㈱敦㌰户㠸㡦㔷挳㙡㈵挱攱昷捡户㕦㡤㘸昶愵㙤㍢搰㔵〰㌲㌶㔴㜸ㄲ㈲愸㙢晦戴摣㡡㑦户挵昷愲攳㥥㔳㔶搵㜳㝤搷っ挶ㄶㄱ昴ㅤ攳户㘷㈶㙣㥥㈹昱㡤㜶愱㜶ㄳ㜶㘲昰晤攸㜳㝡ㅥ〲晢戴っ㕥慡㔸㈴㈳ぢ㕢㡢㘴昰㍢愴㤱㐴㜸㠹摡挱扦捡扣愷㘱搴昱改敡㍣㝣㥤〱㡢戶㠵戲ぢ㍤捥敤㌷㌴戸㜵戸愳昵㉥昸㠳㘴㝤〲挱㌱戵㠴昷扥㥦晢摡扥〷改戶搱摡㝣戶散捤攷㔶㉥㍣〱㥣㙥敤㉤㘹㤲攱㍢昹㐵㜲㔹慦㄰攲搲晥ㄱ晣摤扡㠳㤶愳㡤㠲捥愳て扡改〸ㅢ慦挳㝤戶㠵攸昷㜹㜴ㄵ㔳〴昸改㐶㤴攱㠳愰㤷㡦慣㈸扥㡡㘵㤱〱㤰捦ㄵ慢〰摤愹晡昱㡤愸㝡㈴ㄶ挸㠲㘷っ㤲㘳㔹㝣ㄹつ戹㕤攱戲挱ㄲ㕣戶㔰㘷〹攴昵戸〷昲㌹挱戳㠴㥡挸ㄷ搱愱㌹ㄱぢ愵摤㈷昲㠵㡤㈶㈲㘸〵愸㠵㈶挷ㅦ㠹戵㠸㕥㐷戵㙥ㄳ㌸〴㉥挰㌰挵㈲㘵㑤㌱っ㉤㍣㐳捣㈰晤㉡晡晢晣㤱㕦㍣挷昴户㈳㐲〹㐲㔴愵㈷㑦㐱愸㈶晦改攴攴㍤㤴㜶㥦晣㈷㌷㥡晣〸㘵㈴㘷愲〷〰㐳㝤愲㠲㍦㙡㌱つ㘴戸㡦晣㠹昳〴昸愵㘶㌱㘲愰㐴昵扤㠴っ晡㜲挳㔵慢换挸挴㝤ぢ㕣㝦挶挷㍤捡㍥攲㐵㐸晡㜲㡡愱㌳戶ㄸ㙡挵㤲ㅤ㜹㘱户㠵㙣挰㤲昸戵㙣㔷㤱㕥散㌱挲㉦㍥ㄲ㈳收挴㠹昸换㈹㉤㡡㌹㠱㌰㐲㡢㤴昴挳㡤ㄴㅦ㡥ㅢ㝦攷㝢㉤㤷㈹㉡㤰㐰㍤㘱㘳搲㤹㙡晣㘸摣昸㈰扥捡㔲㙤㜲扣㐱挰昴㝣摣㤸昴愸ㅡ㍦ㄲ㌷晥敢挱扤捤挶㌱ㅤ㠶㈳ㄷ㐸㈴ㄹ戶慥戲晥ㄳ㕦㘸て愳㜹挱愴晥ㅣ㌰挳㘲㑡㑥ㄵ㍡慥㉢つ㍡㠸换㈰ㅥ扥㤱㥥挳摤㈶㕣〱㠱㤰つ晦㔷〹㈷㜱攷㘹搶〸っ㝣〲扤㠶㘰戳愷慢㈷㜶㉥㥡昳ㅥち晡捤㤳㍥捥㔴戵㙤㐵㈲㌰〷昲攱晥㙥攲㤴捦㌰ㅤ㕢晢ㄱ〷挹㌴摥㈱改㑤㜹愸挰㑡㕥㝣㌰挶㙣敥攱ㄶ捤攸て〱㌹㤰㡥㠰捣攸て〳㠶㠱ㄸ摥㔶捥㡤㤰晦ㄵ㜳㝦㤰ㄵㅦ㈲㜸〴愰㉣挸散愴㠳攲愳〰挳昱晦愸㘲㙣㑤昹㑢㌴昱㐰晣戲㈴ㄹ改ㅦ㘱㠷㡦〲昴挱㝤㉢㈲㈲㉣敢ㅦ㐳㐹昲愵ㄴㅣ敡愵ㅦ㘷挵㈷〸㍥〹㔰㉥㜰戲㕢摥㌵慥愹㐷捤昵㈹㜴ㄵてㄳ攰愷㝦㍡捡昰愱挰㝤㜸㕢㜷㕢㤹㐷攱昸挳㝥㠴㍡㔳㕦昰ㅦ挵ㄷ昹敢㕣㜴ㅦ晥㠷㈴〵㘵搸攷戵户昶㌶ㄶ㤹㠰㌶戹晡慤㘲戳㕦挴㌸㕣㔷㉢㠲挲ㄱ愹㔴㑡㕡㔱㄰摦㕣戰㜰昱〶扥攵戰慡㄰㠲㌴愰㉡㥣愸攲〸ち昴捦戲㈹㜱㑣㍣改㥦攳ㄳ㔱慢㌶昱昳㔱㠶て㠲㜸㔵摤敦㡢扡挷㉦㈴慥㔵㠵搵昶㐲攲㕦㔵慣㈴㕦昸ㄸ〷㔳挸㐲㈶慤㤵㠸㌴㐵㐳㕦㐶㘶愸㙦㤸㜳扢ㄷ㍦敤戲愸㥥慦㥤㍦晦捦攱晣搸扥晣扢摦㌹昸搸昳㍦晢攳㘷㝥晤扥挳㝦昹搷攳㡦晦晡㑦㥦㜹敥㕦㍦㕡㍥晣㤳㈷㥥昸昱摤㕦㝢敥㡦扢捤慦㙢摦晢攷摣搷ㅦ㥣扣昸攰晤收搹㕢㡦㍦昸㥥晢敥㤹㕣戸㙡扣慦慦扦晦㤶搱㥦㕥昷㠶㤱㠷敦㝦㕡㍣晢摢㙢ㅤ愱㤶㡢ㄷ愴愷挱㘵慢㘹㝣〵ㄹ㑣㠳㌳㝥㔹愷挱攵慡㡤㕡㡥㌶㙡ㅡ〵㈵昸㌴㌸〱㔵㘱愴㉢〶晥〳挸挷戴㘳</t>
  </si>
  <si>
    <t>Decisioneering:7.0.0.0</t>
  </si>
  <si>
    <t>ce0d1592-cf01-493e-9d44-95460fecd127</t>
  </si>
  <si>
    <t>- COGS</t>
  </si>
  <si>
    <t>Year 0</t>
  </si>
  <si>
    <t>Year 1</t>
  </si>
  <si>
    <t>Year 2</t>
  </si>
  <si>
    <t>Year 3</t>
  </si>
  <si>
    <t>Year 4</t>
  </si>
  <si>
    <t>Year 5</t>
  </si>
  <si>
    <t>Year 6</t>
  </si>
  <si>
    <t>Real Option</t>
  </si>
  <si>
    <t>DCF</t>
  </si>
  <si>
    <t>Optimal Decision</t>
  </si>
  <si>
    <t>You are considering starting a new restaurant: Cluck &amp; Pluck: Farm to Table Chicken Bistro.</t>
  </si>
  <si>
    <t>Forecast</t>
  </si>
  <si>
    <t>To Be Determined</t>
  </si>
  <si>
    <t>Crystal Ball - To Be Determined</t>
  </si>
  <si>
    <t>You decide that you will start with a single restaurant to determine how well the business will perform.</t>
  </si>
  <si>
    <t>To start the business, you will need to invest $100 in working capital and $150 in the restaurant building.</t>
  </si>
  <si>
    <t>The gross profit margin will be 5%.</t>
  </si>
  <si>
    <t>The Depreciation / NFA ratio will be 10%.</t>
  </si>
  <si>
    <t>The cost of debt will be 6%.</t>
  </si>
  <si>
    <t>The corporate tax rate is 30%.</t>
  </si>
  <si>
    <t>Cash, working capital and net fixed assets will be 3%, 10%, and 15% of sales.</t>
  </si>
  <si>
    <t>Over the life of the business (i.e. from year 1 onwards), it is assumed:</t>
  </si>
  <si>
    <t>The debt to equity ratio will be 2/3.</t>
  </si>
  <si>
    <t>Liabilities and equity will be the residual (i.e. total capital sourced will adjust to equal total capital needed for operations).</t>
  </si>
  <si>
    <t>You are working on forecasting the financial statements and free cash flows for the restaurant over the next five years.</t>
  </si>
  <si>
    <t>The WACC is 10%.</t>
  </si>
  <si>
    <t>Given the uncertainty in demand, the sales revenue in year 1 is assumed to be Normally distributed with mean $1000 and standard deviation $300.</t>
  </si>
  <si>
    <t>After the first year, you will gain a better understanding about the growth prospects of the business.</t>
  </si>
  <si>
    <t>For years 2 through 5, the sales growth rate is assumed to be Normally distributed with mean 0% and standard deviation 3%. It assumed there is a singleshort-run growth for the restaurant (i.e. the growth rate for year 2 will be the same as the growth rates for years 3, 4 and 5).</t>
  </si>
  <si>
    <t>After year 5, you assume the free cash flows will continue to grow indefintely at the same growth rate as the short-run sales growth rate.</t>
  </si>
  <si>
    <t>DCF Analysis</t>
  </si>
  <si>
    <t>Find the NPV of the restaurant business and the probability the NPV will be negative.</t>
  </si>
  <si>
    <t>Real Option Analysis</t>
  </si>
  <si>
    <t>If things go well, you will expand your operations and add 20 aditional restuarants.</t>
  </si>
  <si>
    <t>At the end of year 5, you will assess how well your resturant business is performing.</t>
  </si>
  <si>
    <t>Terminal Value of Expansion</t>
  </si>
  <si>
    <t>If you decide to expand, you will need to invest an additional $2,000 in working capital and $3,000 in new resturant buildings. These investments will be made in year 5.</t>
  </si>
  <si>
    <t>The new restuarants will begin producing cash flows starting in year 6. To keep the analysis tractable, it is assumed the free cash flow of each new resturant will be the same as the free cash flow of the original resturant. For example, the FCF in year 6 of the expansion will equal the FCF in year 6 of the original resturant times 20.</t>
  </si>
  <si>
    <t>You will only invest in the expansion if it has a positive NPV.</t>
  </si>
  <si>
    <t>Find the NPV of the resturant business that includes the option to expand if the business is performing well.</t>
  </si>
  <si>
    <t>Find the probability the NPV will be positive.</t>
  </si>
  <si>
    <t>Using Crystal Ball, plot the distribution of the NPV.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</si>
</sst>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_(&quot;$&quot;* #,##0_);_(&quot;$&quot;* \(#,##0\);_(&quot;$&quot;* &quot;-&quot;??_);_(@_)"/>
  </numFmts>
  <fonts count="6" x14ac:knownFonts="1">
    <font>
      <sz val="11"/>
      <color theme="1"/>
      <name val="Aptos Narrow"/>
      <family val="2"/>
      <scheme val="minor"/>
    </font>
    <font>
      <b/>
      <sz val="11"/>
      <color theme="1"/>
      <name val="Aptos Narrow"/>
      <family val="2"/>
      <scheme val="minor"/>
    </font>
    <font>
      <sz val="11"/>
      <color theme="1"/>
      <name val="Aptos Narrow"/>
      <family val="2"/>
      <scheme val="minor"/>
    </font>
    <font>
      <b/>
      <sz val="11"/>
      <name val="Aptos Narrow"/>
      <family val="2"/>
      <scheme val="minor"/>
    </font>
    <font>
      <sz val="11"/>
      <name val="Aptos Narrow"/>
      <family val="2"/>
      <scheme val="minor"/>
    </font>
    <font>
      <sz val="8"/>
      <name val="Aptos Narrow"/>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00FF00"/>
        <bgColor indexed="64"/>
      </patternFill>
    </fill>
  </fills>
  <borders count="5">
    <border>
      <left/>
      <right/>
      <top/>
      <bottom/>
      <diagonal/>
    </border>
    <border>
      <left/>
      <right/>
      <top/>
      <bottom style="thin">
        <color indexed="64"/>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s>
  <cellStyleXfs count="4">
    <xf numFmtId="0" fontId="0" fillId="0" borderId="0"/>
    <xf numFmtId="44"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cellStyleXfs>
  <cellXfs count="74">
    <xf numFmtId="0" fontId="0" fillId="0" borderId="0" xfId="0"/>
    <xf numFmtId="0" fontId="0" fillId="0" borderId="0" xfId="0" quotePrefix="1"/>
    <xf numFmtId="0" fontId="3" fillId="0" borderId="2" xfId="0" applyFont="1" applyBorder="1"/>
    <xf numFmtId="0" fontId="4" fillId="0" borderId="0" xfId="0" applyFont="1"/>
    <xf numFmtId="0" fontId="3" fillId="0" borderId="0" xfId="0" applyFont="1"/>
    <xf numFmtId="0" fontId="1" fillId="0" borderId="2" xfId="0" applyFont="1" applyBorder="1"/>
    <xf numFmtId="164" fontId="0" fillId="0" borderId="0" xfId="1" applyNumberFormat="1" applyFont="1"/>
    <xf numFmtId="164" fontId="0" fillId="0" borderId="0" xfId="1" quotePrefix="1" applyNumberFormat="1" applyFont="1"/>
    <xf numFmtId="0" fontId="3" fillId="0" borderId="2" xfId="1" applyNumberFormat="1" applyFont="1" applyFill="1" applyBorder="1" applyAlignment="1">
      <alignment horizontal="center"/>
    </xf>
    <xf numFmtId="164" fontId="0" fillId="0" borderId="0" xfId="1" quotePrefix="1" applyNumberFormat="1" applyFont="1" applyAlignment="1">
      <alignment horizontal="left"/>
    </xf>
    <xf numFmtId="0" fontId="4" fillId="0" borderId="2" xfId="0" quotePrefix="1" applyFont="1" applyBorder="1"/>
    <xf numFmtId="0" fontId="1" fillId="0" borderId="0" xfId="0" applyFont="1"/>
    <xf numFmtId="164" fontId="0" fillId="0" borderId="0" xfId="1" applyNumberFormat="1" applyFont="1" applyAlignment="1">
      <alignment vertical="top" wrapText="1"/>
    </xf>
    <xf numFmtId="0" fontId="2" fillId="0" borderId="0" xfId="1" applyNumberFormat="1" applyFont="1" applyAlignment="1">
      <alignment horizontal="left"/>
    </xf>
    <xf numFmtId="0" fontId="0" fillId="0" borderId="0" xfId="0" applyAlignment="1">
      <alignment horizontal="left"/>
    </xf>
    <xf numFmtId="9" fontId="0" fillId="0" borderId="0" xfId="2" applyFont="1"/>
    <xf numFmtId="0" fontId="0" fillId="0" borderId="2" xfId="0" applyBorder="1"/>
    <xf numFmtId="0" fontId="0" fillId="0" borderId="3" xfId="0" applyBorder="1" applyAlignment="1">
      <alignment horizontal="left"/>
    </xf>
    <xf numFmtId="0" fontId="0" fillId="0" borderId="0" xfId="0" quotePrefix="1" applyAlignment="1">
      <alignment horizontal="left"/>
    </xf>
    <xf numFmtId="0" fontId="0" fillId="0" borderId="1" xfId="0" quotePrefix="1" applyBorder="1" applyAlignment="1">
      <alignment horizontal="left"/>
    </xf>
    <xf numFmtId="0" fontId="0" fillId="0" borderId="1" xfId="0" quotePrefix="1" applyBorder="1"/>
    <xf numFmtId="0" fontId="0" fillId="0" borderId="0" xfId="1" applyNumberFormat="1" applyFont="1" applyBorder="1"/>
    <xf numFmtId="9" fontId="1" fillId="0" borderId="0" xfId="2" applyFont="1" applyBorder="1" applyAlignment="1"/>
    <xf numFmtId="9" fontId="0" fillId="0" borderId="0" xfId="2" applyFont="1" applyBorder="1"/>
    <xf numFmtId="0" fontId="0" fillId="3" borderId="0" xfId="3" applyNumberFormat="1" applyFont="1" applyFill="1" applyBorder="1"/>
    <xf numFmtId="0" fontId="4" fillId="0" borderId="2" xfId="0" applyFont="1" applyBorder="1"/>
    <xf numFmtId="164" fontId="0" fillId="2" borderId="0" xfId="1" applyNumberFormat="1" applyFont="1" applyFill="1" applyAlignment="1">
      <alignment horizontal="center"/>
    </xf>
    <xf numFmtId="164" fontId="0" fillId="0" borderId="0" xfId="1" quotePrefix="1" applyNumberFormat="1" applyFont="1" applyAlignment="1">
      <alignment horizontal="center"/>
    </xf>
    <xf numFmtId="164" fontId="0" fillId="0" borderId="0" xfId="1" quotePrefix="1" applyNumberFormat="1" applyFont="1" applyFill="1" applyAlignment="1">
      <alignment horizontal="center"/>
    </xf>
    <xf numFmtId="164" fontId="0" fillId="0" borderId="0" xfId="1" applyNumberFormat="1" applyFont="1" applyAlignment="1">
      <alignment horizontal="center"/>
    </xf>
    <xf numFmtId="164" fontId="0" fillId="0" borderId="0" xfId="1" applyNumberFormat="1" applyFont="1" applyFill="1" applyBorder="1" applyAlignment="1">
      <alignment horizontal="center"/>
    </xf>
    <xf numFmtId="164" fontId="0" fillId="2" borderId="0" xfId="1" applyNumberFormat="1" applyFont="1" applyFill="1" applyBorder="1" applyAlignment="1">
      <alignment horizontal="center"/>
    </xf>
    <xf numFmtId="164" fontId="0" fillId="2" borderId="2" xfId="1" applyNumberFormat="1" applyFont="1" applyFill="1" applyBorder="1" applyAlignment="1">
      <alignment horizontal="center"/>
    </xf>
    <xf numFmtId="164" fontId="3" fillId="2" borderId="0" xfId="1" applyNumberFormat="1" applyFont="1" applyFill="1" applyBorder="1" applyAlignment="1">
      <alignment horizontal="center"/>
    </xf>
    <xf numFmtId="164" fontId="0" fillId="0" borderId="2" xfId="1" applyNumberFormat="1" applyFont="1" applyBorder="1" applyAlignment="1">
      <alignment horizontal="center"/>
    </xf>
    <xf numFmtId="164" fontId="2" fillId="0" borderId="0" xfId="1" applyNumberFormat="1" applyFont="1" applyAlignment="1">
      <alignment horizontal="center"/>
    </xf>
    <xf numFmtId="164" fontId="2" fillId="0" borderId="0" xfId="1" applyNumberFormat="1" applyFont="1" applyFill="1" applyAlignment="1">
      <alignment horizontal="center"/>
    </xf>
    <xf numFmtId="164" fontId="1" fillId="2" borderId="0" xfId="1" applyNumberFormat="1" applyFont="1" applyFill="1" applyAlignment="1">
      <alignment horizontal="center"/>
    </xf>
    <xf numFmtId="164" fontId="0" fillId="2" borderId="0" xfId="1" quotePrefix="1" applyNumberFormat="1" applyFont="1" applyFill="1" applyAlignment="1">
      <alignment horizontal="center"/>
    </xf>
    <xf numFmtId="164" fontId="0" fillId="2" borderId="1" xfId="1" quotePrefix="1" applyNumberFormat="1" applyFont="1" applyFill="1" applyBorder="1" applyAlignment="1">
      <alignment horizontal="center"/>
    </xf>
    <xf numFmtId="164" fontId="4" fillId="2" borderId="0" xfId="1" applyNumberFormat="1" applyFont="1" applyFill="1" applyBorder="1" applyAlignment="1">
      <alignment horizontal="center"/>
    </xf>
    <xf numFmtId="164" fontId="4" fillId="2" borderId="2" xfId="1" applyNumberFormat="1" applyFont="1" applyFill="1" applyBorder="1" applyAlignment="1">
      <alignment horizontal="center"/>
    </xf>
    <xf numFmtId="0" fontId="2" fillId="0" borderId="0" xfId="1" applyNumberFormat="1" applyFont="1" applyAlignment="1">
      <alignment horizontal="center"/>
    </xf>
    <xf numFmtId="0" fontId="0" fillId="0" borderId="2" xfId="0" quotePrefix="1" applyBorder="1" applyAlignment="1">
      <alignment horizontal="left"/>
    </xf>
    <xf numFmtId="164" fontId="0" fillId="2" borderId="2" xfId="1" quotePrefix="1" applyNumberFormat="1" applyFont="1" applyFill="1" applyBorder="1" applyAlignment="1">
      <alignment horizontal="center"/>
    </xf>
    <xf numFmtId="0" fontId="1" fillId="0" borderId="0" xfId="0" quotePrefix="1" applyFont="1" applyAlignment="1">
      <alignment horizontal="left"/>
    </xf>
    <xf numFmtId="164" fontId="1" fillId="2" borderId="0" xfId="1" quotePrefix="1" applyNumberFormat="1" applyFont="1" applyFill="1" applyBorder="1" applyAlignment="1">
      <alignment horizontal="center"/>
    </xf>
    <xf numFmtId="164" fontId="0" fillId="0" borderId="0" xfId="1" applyNumberFormat="1" applyFont="1" applyBorder="1" applyAlignment="1">
      <alignment horizontal="center"/>
    </xf>
    <xf numFmtId="164" fontId="2" fillId="2" borderId="0" xfId="1" applyNumberFormat="1" applyFont="1" applyFill="1" applyAlignment="1">
      <alignment horizontal="center"/>
    </xf>
    <xf numFmtId="0" fontId="0" fillId="4" borderId="0" xfId="0" applyFill="1"/>
    <xf numFmtId="0" fontId="0" fillId="2" borderId="0" xfId="0" applyFill="1"/>
    <xf numFmtId="9" fontId="0" fillId="4" borderId="0" xfId="2" applyFont="1" applyFill="1" applyAlignment="1">
      <alignment horizontal="center"/>
    </xf>
    <xf numFmtId="9" fontId="0" fillId="0" borderId="0" xfId="2" applyFont="1" applyFill="1" applyAlignment="1">
      <alignment horizontal="center"/>
    </xf>
    <xf numFmtId="164" fontId="0" fillId="0" borderId="3" xfId="1" applyNumberFormat="1" applyFont="1" applyFill="1" applyBorder="1" applyAlignment="1">
      <alignment horizontal="center"/>
    </xf>
    <xf numFmtId="164" fontId="0" fillId="0" borderId="1" xfId="1" quotePrefix="1" applyNumberFormat="1" applyFont="1" applyFill="1" applyBorder="1" applyAlignment="1">
      <alignment horizontal="center"/>
    </xf>
    <xf numFmtId="164" fontId="4" fillId="0" borderId="1" xfId="1" quotePrefix="1" applyNumberFormat="1" applyFont="1" applyFill="1" applyBorder="1" applyAlignment="1">
      <alignment horizontal="center"/>
    </xf>
    <xf numFmtId="164" fontId="0" fillId="0" borderId="2" xfId="1" quotePrefix="1" applyNumberFormat="1" applyFont="1" applyFill="1" applyBorder="1" applyAlignment="1">
      <alignment horizontal="center"/>
    </xf>
    <xf numFmtId="164" fontId="1" fillId="0" borderId="0" xfId="1" quotePrefix="1" applyNumberFormat="1" applyFont="1" applyFill="1" applyBorder="1" applyAlignment="1">
      <alignment horizontal="center"/>
    </xf>
    <xf numFmtId="9" fontId="0" fillId="4" borderId="0" xfId="2" applyFont="1" applyFill="1"/>
    <xf numFmtId="9" fontId="0" fillId="4" borderId="0" xfId="2" applyFont="1" applyFill="1" applyBorder="1"/>
    <xf numFmtId="164" fontId="4" fillId="5" borderId="0" xfId="1" applyNumberFormat="1" applyFont="1" applyFill="1" applyAlignment="1">
      <alignment horizontal="center"/>
    </xf>
    <xf numFmtId="164" fontId="4" fillId="2" borderId="0" xfId="1" applyNumberFormat="1" applyFont="1" applyFill="1" applyAlignment="1">
      <alignment horizontal="center"/>
    </xf>
    <xf numFmtId="9" fontId="0" fillId="4" borderId="0" xfId="0" applyNumberFormat="1" applyFill="1"/>
    <xf numFmtId="9" fontId="0" fillId="5" borderId="0" xfId="2" applyFont="1" applyFill="1"/>
    <xf numFmtId="164" fontId="3" fillId="0" borderId="0" xfId="1" applyNumberFormat="1" applyFont="1" applyFill="1" applyBorder="1" applyAlignment="1">
      <alignment horizontal="center"/>
    </xf>
    <xf numFmtId="0" fontId="3" fillId="0" borderId="0" xfId="1" applyNumberFormat="1" applyFont="1" applyFill="1" applyBorder="1" applyAlignment="1">
      <alignment horizontal="center"/>
    </xf>
    <xf numFmtId="164" fontId="3" fillId="0" borderId="2" xfId="1" applyNumberFormat="1" applyFont="1" applyFill="1" applyBorder="1" applyAlignment="1">
      <alignment horizontal="center"/>
    </xf>
    <xf numFmtId="164" fontId="3" fillId="2" borderId="2" xfId="1" applyNumberFormat="1" applyFont="1" applyFill="1" applyBorder="1" applyAlignment="1">
      <alignment horizontal="center"/>
    </xf>
    <xf numFmtId="0" fontId="0" fillId="0" borderId="4" xfId="0" applyBorder="1"/>
    <xf numFmtId="164" fontId="0" fillId="0" borderId="4" xfId="1" applyNumberFormat="1" applyFont="1" applyBorder="1" applyAlignment="1">
      <alignment horizontal="center"/>
    </xf>
    <xf numFmtId="164" fontId="0" fillId="2" borderId="4" xfId="1" applyNumberFormat="1" applyFont="1" applyFill="1" applyBorder="1" applyAlignment="1">
      <alignment horizontal="center"/>
    </xf>
    <xf numFmtId="0" fontId="0" fillId="5" borderId="0" xfId="0" applyFill="1"/>
    <xf numFmtId="0" fontId="3" fillId="0" borderId="1" xfId="1" applyNumberFormat="1" applyFont="1" applyFill="1" applyBorder="1" applyAlignment="1">
      <alignment horizontal="center"/>
    </xf>
    <xf numFmtId="0" fontId="1" fillId="0" borderId="2" xfId="0" applyFont="1" applyBorder="1" applyAlignment="1">
      <alignment horizontal="center"/>
    </xf>
  </cellXfs>
  <cellStyles count="4">
    <cellStyle name="Comma" xfId="3" builtinId="3"/>
    <cellStyle name="Currency" xfId="1" builtinId="4"/>
    <cellStyle name="Normal" xfId="0" builtinId="0"/>
    <cellStyle name="Percent" xfId="2" builtinId="5"/>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4D0CC-EF0C-46B9-B369-B1EEB0FED917}">
  <dimension ref="A1:C28"/>
  <sheetViews>
    <sheetView workbookViewId="0"/>
  </sheetViews>
  <sheetFormatPr defaultRowHeight="14.25" x14ac:dyDescent="0.45"/>
  <cols>
    <col min="1" max="2" width="36.59765625" customWidth="1"/>
  </cols>
  <sheetData>
    <row r="1" spans="1:3" x14ac:dyDescent="0.45">
      <c r="A1" s="11" t="s">
        <v>39</v>
      </c>
    </row>
    <row r="3" spans="1:3" x14ac:dyDescent="0.45">
      <c r="A3" t="s">
        <v>40</v>
      </c>
      <c r="B3" t="s">
        <v>41</v>
      </c>
      <c r="C3">
        <v>0</v>
      </c>
    </row>
    <row r="4" spans="1:3" x14ac:dyDescent="0.45">
      <c r="A4" t="s">
        <v>42</v>
      </c>
    </row>
    <row r="5" spans="1:3" x14ac:dyDescent="0.45">
      <c r="A5" t="s">
        <v>43</v>
      </c>
    </row>
    <row r="7" spans="1:3" x14ac:dyDescent="0.45">
      <c r="A7" s="11" t="s">
        <v>44</v>
      </c>
      <c r="B7" t="s">
        <v>45</v>
      </c>
    </row>
    <row r="8" spans="1:3" x14ac:dyDescent="0.45">
      <c r="B8">
        <v>2</v>
      </c>
    </row>
    <row r="10" spans="1:3" x14ac:dyDescent="0.45">
      <c r="A10" t="s">
        <v>46</v>
      </c>
    </row>
    <row r="11" spans="1:3" x14ac:dyDescent="0.45">
      <c r="A11" t="e">
        <f>CB_DATA_!#REF!</f>
        <v>#REF!</v>
      </c>
      <c r="B11" t="e">
        <f>'Project Analysis'!#REF!</f>
        <v>#REF!</v>
      </c>
    </row>
    <row r="13" spans="1:3" x14ac:dyDescent="0.45">
      <c r="A13" t="s">
        <v>47</v>
      </c>
    </row>
    <row r="14" spans="1:3" x14ac:dyDescent="0.45">
      <c r="A14" t="s">
        <v>51</v>
      </c>
      <c r="B14" t="s">
        <v>55</v>
      </c>
    </row>
    <row r="16" spans="1:3" x14ac:dyDescent="0.45">
      <c r="A16" t="s">
        <v>48</v>
      </c>
    </row>
    <row r="19" spans="1:2" x14ac:dyDescent="0.45">
      <c r="A19" t="s">
        <v>49</v>
      </c>
    </row>
    <row r="20" spans="1:2" x14ac:dyDescent="0.45">
      <c r="A20">
        <v>28</v>
      </c>
      <c r="B20">
        <v>26</v>
      </c>
    </row>
    <row r="25" spans="1:2" x14ac:dyDescent="0.45">
      <c r="A25" s="11" t="s">
        <v>50</v>
      </c>
    </row>
    <row r="26" spans="1:2" x14ac:dyDescent="0.45">
      <c r="A26" s="1" t="s">
        <v>52</v>
      </c>
    </row>
    <row r="27" spans="1:2" x14ac:dyDescent="0.45">
      <c r="A27" t="s">
        <v>53</v>
      </c>
    </row>
    <row r="28" spans="1:2" x14ac:dyDescent="0.45">
      <c r="A28" s="1"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FBBA9-AF17-499F-8A90-E73372ED630C}">
  <dimension ref="A1:A35"/>
  <sheetViews>
    <sheetView tabSelected="1" workbookViewId="0"/>
  </sheetViews>
  <sheetFormatPr defaultRowHeight="14.25" x14ac:dyDescent="0.45"/>
  <sheetData>
    <row r="1" spans="1:1" x14ac:dyDescent="0.45">
      <c r="A1" s="11" t="s">
        <v>67</v>
      </c>
    </row>
    <row r="3" spans="1:1" x14ac:dyDescent="0.45">
      <c r="A3" s="11" t="s">
        <v>71</v>
      </c>
    </row>
    <row r="4" spans="1:1" x14ac:dyDescent="0.45">
      <c r="A4" t="s">
        <v>83</v>
      </c>
    </row>
    <row r="5" spans="1:1" x14ac:dyDescent="0.45">
      <c r="A5" t="s">
        <v>84</v>
      </c>
    </row>
    <row r="6" spans="1:1" x14ac:dyDescent="0.45">
      <c r="A6" t="s">
        <v>85</v>
      </c>
    </row>
    <row r="7" spans="1:1" x14ac:dyDescent="0.45">
      <c r="A7" t="s">
        <v>72</v>
      </c>
    </row>
    <row r="9" spans="1:1" x14ac:dyDescent="0.45">
      <c r="A9" s="11" t="s">
        <v>78</v>
      </c>
    </row>
    <row r="10" spans="1:1" x14ac:dyDescent="0.45">
      <c r="A10" t="s">
        <v>73</v>
      </c>
    </row>
    <row r="11" spans="1:1" x14ac:dyDescent="0.45">
      <c r="A11" t="s">
        <v>74</v>
      </c>
    </row>
    <row r="12" spans="1:1" x14ac:dyDescent="0.45">
      <c r="A12" t="s">
        <v>75</v>
      </c>
    </row>
    <row r="13" spans="1:1" x14ac:dyDescent="0.45">
      <c r="A13" t="s">
        <v>76</v>
      </c>
    </row>
    <row r="14" spans="1:1" x14ac:dyDescent="0.45">
      <c r="A14" t="s">
        <v>77</v>
      </c>
    </row>
    <row r="15" spans="1:1" x14ac:dyDescent="0.45">
      <c r="A15" t="s">
        <v>79</v>
      </c>
    </row>
    <row r="16" spans="1:1" x14ac:dyDescent="0.45">
      <c r="A16" t="s">
        <v>80</v>
      </c>
    </row>
    <row r="18" spans="1:1" x14ac:dyDescent="0.45">
      <c r="A18" s="11" t="s">
        <v>81</v>
      </c>
    </row>
    <row r="19" spans="1:1" x14ac:dyDescent="0.45">
      <c r="A19" s="11" t="s">
        <v>86</v>
      </c>
    </row>
    <row r="21" spans="1:1" x14ac:dyDescent="0.45">
      <c r="A21" t="s">
        <v>82</v>
      </c>
    </row>
    <row r="23" spans="1:1" x14ac:dyDescent="0.45">
      <c r="A23" s="11" t="s">
        <v>87</v>
      </c>
    </row>
    <row r="24" spans="1:1" x14ac:dyDescent="0.45">
      <c r="A24" t="s">
        <v>88</v>
      </c>
    </row>
    <row r="25" spans="1:1" x14ac:dyDescent="0.45">
      <c r="A25" t="s">
        <v>98</v>
      </c>
    </row>
    <row r="27" spans="1:1" x14ac:dyDescent="0.45">
      <c r="A27" s="11" t="s">
        <v>89</v>
      </c>
    </row>
    <row r="28" spans="1:1" x14ac:dyDescent="0.45">
      <c r="A28" t="s">
        <v>91</v>
      </c>
    </row>
    <row r="29" spans="1:1" x14ac:dyDescent="0.45">
      <c r="A29" t="s">
        <v>90</v>
      </c>
    </row>
    <row r="30" spans="1:1" x14ac:dyDescent="0.45">
      <c r="A30" t="s">
        <v>93</v>
      </c>
    </row>
    <row r="31" spans="1:1" x14ac:dyDescent="0.45">
      <c r="A31" t="s">
        <v>94</v>
      </c>
    </row>
    <row r="32" spans="1:1" x14ac:dyDescent="0.45">
      <c r="A32" t="s">
        <v>95</v>
      </c>
    </row>
    <row r="34" spans="1:1" x14ac:dyDescent="0.45">
      <c r="A34" t="s">
        <v>96</v>
      </c>
    </row>
    <row r="35" spans="1:1" x14ac:dyDescent="0.45">
      <c r="A35" t="s">
        <v>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1FB90-26B1-44C9-90FF-AB3D820DD8A7}">
  <sheetPr codeName="Sheet2"/>
  <dimension ref="A1:L43"/>
  <sheetViews>
    <sheetView zoomScaleNormal="100" workbookViewId="0">
      <selection activeCell="B42" sqref="B42"/>
    </sheetView>
  </sheetViews>
  <sheetFormatPr defaultRowHeight="14.25" x14ac:dyDescent="0.45"/>
  <cols>
    <col min="1" max="1" width="24.53125" bestFit="1" customWidth="1"/>
    <col min="2" max="7" width="8.59765625" style="29" customWidth="1"/>
    <col min="8" max="8" width="8.59765625" style="6" customWidth="1"/>
    <col min="9" max="9" width="21.19921875" bestFit="1" customWidth="1"/>
    <col min="10" max="10" width="4.19921875" style="15" bestFit="1" customWidth="1"/>
    <col min="12" max="12" width="24.6640625" bestFit="1" customWidth="1"/>
  </cols>
  <sheetData>
    <row r="1" spans="1:12" ht="14.65" thickBot="1" x14ac:dyDescent="0.5">
      <c r="A1" s="5" t="s">
        <v>5</v>
      </c>
      <c r="B1" s="8"/>
      <c r="C1" s="8" t="s">
        <v>58</v>
      </c>
      <c r="D1" s="8" t="s">
        <v>59</v>
      </c>
      <c r="E1" s="8" t="s">
        <v>60</v>
      </c>
      <c r="F1" s="8" t="s">
        <v>61</v>
      </c>
      <c r="G1" s="8" t="s">
        <v>62</v>
      </c>
      <c r="I1" s="72" t="s">
        <v>36</v>
      </c>
      <c r="J1" s="72"/>
    </row>
    <row r="2" spans="1:12" x14ac:dyDescent="0.45">
      <c r="A2" s="17" t="s">
        <v>6</v>
      </c>
      <c r="B2" s="53"/>
      <c r="C2" s="60"/>
      <c r="D2" s="26"/>
      <c r="E2" s="26"/>
      <c r="F2" s="26"/>
      <c r="G2" s="26"/>
      <c r="I2" t="s">
        <v>23</v>
      </c>
      <c r="J2" s="63"/>
      <c r="L2" s="71" t="s">
        <v>70</v>
      </c>
    </row>
    <row r="3" spans="1:12" x14ac:dyDescent="0.45">
      <c r="A3" s="18" t="s">
        <v>56</v>
      </c>
      <c r="B3" s="28"/>
      <c r="C3" s="38"/>
      <c r="D3" s="38"/>
      <c r="E3" s="38"/>
      <c r="F3" s="38"/>
      <c r="G3" s="38"/>
      <c r="I3" t="s">
        <v>22</v>
      </c>
      <c r="J3" s="58"/>
      <c r="L3" s="49" t="s">
        <v>68</v>
      </c>
    </row>
    <row r="4" spans="1:12" x14ac:dyDescent="0.45">
      <c r="A4" s="20" t="s">
        <v>7</v>
      </c>
      <c r="B4" s="54"/>
      <c r="C4" s="39"/>
      <c r="D4" s="39"/>
      <c r="E4" s="39"/>
      <c r="F4" s="39"/>
      <c r="G4" s="39"/>
      <c r="I4" t="s">
        <v>38</v>
      </c>
      <c r="J4" s="58"/>
      <c r="L4" s="50" t="s">
        <v>69</v>
      </c>
    </row>
    <row r="5" spans="1:12" x14ac:dyDescent="0.45">
      <c r="A5" s="14" t="s">
        <v>8</v>
      </c>
      <c r="B5" s="30"/>
      <c r="C5" s="31"/>
      <c r="D5" s="31"/>
      <c r="E5" s="31"/>
      <c r="F5" s="31"/>
      <c r="G5" s="31"/>
    </row>
    <row r="6" spans="1:12" x14ac:dyDescent="0.45">
      <c r="A6" s="19" t="s">
        <v>9</v>
      </c>
      <c r="B6" s="55"/>
      <c r="C6" s="39"/>
      <c r="D6" s="39"/>
      <c r="E6" s="39"/>
      <c r="F6" s="39"/>
      <c r="G6" s="39"/>
      <c r="H6" s="9"/>
      <c r="I6" t="s">
        <v>14</v>
      </c>
      <c r="J6" s="58"/>
    </row>
    <row r="7" spans="1:12" x14ac:dyDescent="0.45">
      <c r="A7" s="18" t="s">
        <v>10</v>
      </c>
      <c r="B7" s="28"/>
      <c r="C7" s="38"/>
      <c r="D7" s="38"/>
      <c r="E7" s="38"/>
      <c r="F7" s="38"/>
      <c r="G7" s="38"/>
    </row>
    <row r="8" spans="1:12" ht="14.65" thickBot="1" x14ac:dyDescent="0.5">
      <c r="A8" s="43" t="s">
        <v>11</v>
      </c>
      <c r="B8" s="56"/>
      <c r="C8" s="44"/>
      <c r="D8" s="44"/>
      <c r="E8" s="44"/>
      <c r="F8" s="44"/>
      <c r="G8" s="44"/>
      <c r="H8" s="7"/>
      <c r="I8" t="s">
        <v>13</v>
      </c>
      <c r="J8" s="58"/>
    </row>
    <row r="9" spans="1:12" x14ac:dyDescent="0.45">
      <c r="A9" s="45" t="s">
        <v>12</v>
      </c>
      <c r="B9" s="57"/>
      <c r="C9" s="46"/>
      <c r="D9" s="46"/>
      <c r="E9" s="46"/>
      <c r="F9" s="46"/>
      <c r="G9" s="46"/>
      <c r="J9"/>
    </row>
    <row r="10" spans="1:12" x14ac:dyDescent="0.45">
      <c r="B10" s="47"/>
      <c r="C10" s="47"/>
      <c r="D10" s="47"/>
      <c r="E10" s="47"/>
      <c r="F10" s="47"/>
      <c r="G10" s="47"/>
      <c r="I10" s="15"/>
    </row>
    <row r="12" spans="1:12" ht="14.65" thickBot="1" x14ac:dyDescent="0.5">
      <c r="A12" s="16"/>
      <c r="B12" s="73" t="s">
        <v>24</v>
      </c>
      <c r="C12" s="73"/>
      <c r="D12" s="73"/>
      <c r="E12" s="73"/>
      <c r="F12" s="73"/>
      <c r="G12" s="73"/>
      <c r="H12" s="11"/>
      <c r="I12" s="11"/>
      <c r="J12" s="22"/>
    </row>
    <row r="13" spans="1:12" ht="14.65" thickBot="1" x14ac:dyDescent="0.5">
      <c r="A13" s="2" t="s">
        <v>3</v>
      </c>
      <c r="B13" s="8" t="s">
        <v>57</v>
      </c>
      <c r="C13" s="8" t="s">
        <v>58</v>
      </c>
      <c r="D13" s="8" t="s">
        <v>59</v>
      </c>
      <c r="E13" s="8" t="s">
        <v>60</v>
      </c>
      <c r="F13" s="8" t="s">
        <v>61</v>
      </c>
      <c r="G13" s="8" t="s">
        <v>62</v>
      </c>
    </row>
    <row r="14" spans="1:12" x14ac:dyDescent="0.45">
      <c r="A14" s="3" t="s">
        <v>0</v>
      </c>
      <c r="B14" s="40"/>
      <c r="C14" s="40"/>
      <c r="D14" s="40"/>
      <c r="E14" s="40"/>
      <c r="F14" s="40"/>
      <c r="G14" s="40"/>
      <c r="H14" s="12"/>
      <c r="I14" t="s">
        <v>21</v>
      </c>
      <c r="J14" s="58"/>
    </row>
    <row r="15" spans="1:12" x14ac:dyDescent="0.45">
      <c r="A15" s="3" t="s">
        <v>15</v>
      </c>
      <c r="B15" s="40"/>
      <c r="C15" s="40"/>
      <c r="D15" s="40"/>
      <c r="E15" s="40"/>
      <c r="F15" s="40"/>
      <c r="G15" s="40"/>
      <c r="I15" s="14" t="s">
        <v>29</v>
      </c>
      <c r="J15" s="58"/>
    </row>
    <row r="16" spans="1:12" ht="14.65" thickBot="1" x14ac:dyDescent="0.5">
      <c r="A16" s="25" t="s">
        <v>1</v>
      </c>
      <c r="B16" s="41"/>
      <c r="C16" s="41"/>
      <c r="D16" s="41"/>
      <c r="E16" s="41"/>
      <c r="F16" s="41"/>
      <c r="G16" s="41"/>
      <c r="I16" t="s">
        <v>30</v>
      </c>
      <c r="J16" s="62"/>
    </row>
    <row r="17" spans="1:10" x14ac:dyDescent="0.45">
      <c r="A17" s="4" t="s">
        <v>2</v>
      </c>
      <c r="B17" s="33"/>
      <c r="C17" s="33"/>
      <c r="D17" s="33"/>
      <c r="E17" s="33"/>
      <c r="F17" s="33"/>
      <c r="G17" s="33"/>
      <c r="J17"/>
    </row>
    <row r="18" spans="1:10" ht="14.65" thickBot="1" x14ac:dyDescent="0.5">
      <c r="A18" s="16"/>
      <c r="B18" s="34"/>
      <c r="C18" s="34"/>
      <c r="D18" s="34"/>
      <c r="E18" s="34"/>
      <c r="F18" s="34"/>
      <c r="G18" s="34"/>
      <c r="J18"/>
    </row>
    <row r="19" spans="1:10" ht="14.65" thickBot="1" x14ac:dyDescent="0.5">
      <c r="A19" s="5" t="s">
        <v>31</v>
      </c>
      <c r="B19" s="8" t="s">
        <v>57</v>
      </c>
      <c r="C19" s="8" t="s">
        <v>58</v>
      </c>
      <c r="D19" s="8" t="s">
        <v>59</v>
      </c>
      <c r="E19" s="8" t="s">
        <v>60</v>
      </c>
      <c r="F19" s="8" t="s">
        <v>61</v>
      </c>
      <c r="G19" s="8" t="s">
        <v>62</v>
      </c>
    </row>
    <row r="20" spans="1:10" x14ac:dyDescent="0.45">
      <c r="A20" s="3" t="s">
        <v>37</v>
      </c>
      <c r="B20" s="40"/>
      <c r="C20" s="40"/>
      <c r="D20" s="40"/>
      <c r="E20" s="40"/>
      <c r="F20" s="40"/>
      <c r="G20" s="40"/>
      <c r="H20"/>
      <c r="I20" s="21" t="s">
        <v>33</v>
      </c>
      <c r="J20" s="59"/>
    </row>
    <row r="21" spans="1:10" ht="14.65" thickBot="1" x14ac:dyDescent="0.5">
      <c r="A21" s="25" t="s">
        <v>4</v>
      </c>
      <c r="B21" s="41"/>
      <c r="C21" s="41"/>
      <c r="D21" s="41"/>
      <c r="E21" s="41"/>
      <c r="F21" s="41"/>
      <c r="G21" s="41"/>
      <c r="H21"/>
      <c r="I21" s="21" t="s">
        <v>34</v>
      </c>
      <c r="J21" s="59"/>
    </row>
    <row r="22" spans="1:10" x14ac:dyDescent="0.45">
      <c r="A22" s="4" t="s">
        <v>26</v>
      </c>
      <c r="B22" s="37"/>
      <c r="C22" s="37"/>
      <c r="D22" s="37"/>
      <c r="E22" s="37"/>
      <c r="F22" s="37"/>
      <c r="G22" s="37"/>
      <c r="H22" s="24" t="s">
        <v>32</v>
      </c>
      <c r="J22"/>
    </row>
    <row r="25" spans="1:10" ht="14.65" thickBot="1" x14ac:dyDescent="0.5">
      <c r="A25" s="2" t="s">
        <v>65</v>
      </c>
      <c r="B25" s="8" t="s">
        <v>57</v>
      </c>
      <c r="C25" s="8" t="s">
        <v>58</v>
      </c>
      <c r="D25" s="8" t="s">
        <v>59</v>
      </c>
      <c r="E25" s="8" t="s">
        <v>60</v>
      </c>
      <c r="F25" s="8" t="s">
        <v>61</v>
      </c>
      <c r="G25" s="8" t="s">
        <v>62</v>
      </c>
      <c r="H25" s="8" t="s">
        <v>63</v>
      </c>
      <c r="I25" s="21"/>
      <c r="J25" s="23"/>
    </row>
    <row r="26" spans="1:10" x14ac:dyDescent="0.45">
      <c r="A26" s="3" t="s">
        <v>8</v>
      </c>
      <c r="B26" s="40"/>
      <c r="C26" s="26"/>
      <c r="D26" s="26"/>
      <c r="E26" s="26"/>
      <c r="F26" s="26"/>
      <c r="G26" s="26"/>
      <c r="H26" s="27"/>
      <c r="I26" s="21"/>
      <c r="J26" s="23"/>
    </row>
    <row r="27" spans="1:10" x14ac:dyDescent="0.45">
      <c r="A27" s="1" t="s">
        <v>20</v>
      </c>
      <c r="B27" s="61"/>
      <c r="C27" s="26"/>
      <c r="D27" s="26"/>
      <c r="E27" s="26"/>
      <c r="F27" s="26"/>
      <c r="G27" s="26"/>
      <c r="H27" s="27"/>
      <c r="I27" s="21"/>
      <c r="J27" s="23"/>
    </row>
    <row r="28" spans="1:10" x14ac:dyDescent="0.45">
      <c r="A28" s="1" t="s">
        <v>17</v>
      </c>
      <c r="B28" s="38"/>
      <c r="C28" s="26"/>
      <c r="D28" s="26"/>
      <c r="E28" s="26"/>
      <c r="F28" s="26"/>
      <c r="G28" s="26"/>
      <c r="H28" s="29"/>
    </row>
    <row r="29" spans="1:10" x14ac:dyDescent="0.45">
      <c r="A29" s="1" t="s">
        <v>18</v>
      </c>
      <c r="B29" s="31"/>
      <c r="C29" s="31"/>
      <c r="D29" s="31"/>
      <c r="E29" s="31"/>
      <c r="F29" s="31"/>
      <c r="G29" s="31"/>
      <c r="H29" s="29"/>
    </row>
    <row r="30" spans="1:10" ht="14.65" thickBot="1" x14ac:dyDescent="0.5">
      <c r="A30" s="10" t="s">
        <v>19</v>
      </c>
      <c r="B30" s="41"/>
      <c r="C30" s="32"/>
      <c r="D30" s="32"/>
      <c r="E30" s="32"/>
      <c r="F30" s="32"/>
      <c r="G30" s="32"/>
      <c r="H30" s="29"/>
    </row>
    <row r="31" spans="1:10" x14ac:dyDescent="0.45">
      <c r="A31" s="4" t="s">
        <v>16</v>
      </c>
      <c r="B31" s="33"/>
      <c r="C31" s="33"/>
      <c r="D31" s="33"/>
      <c r="E31" s="33"/>
      <c r="F31" s="33"/>
      <c r="G31" s="33"/>
      <c r="H31" s="48"/>
      <c r="I31" t="s">
        <v>35</v>
      </c>
      <c r="J31" s="51"/>
    </row>
    <row r="32" spans="1:10" ht="14.65" thickBot="1" x14ac:dyDescent="0.5">
      <c r="A32" s="16" t="s">
        <v>27</v>
      </c>
      <c r="B32" s="34"/>
      <c r="C32" s="34"/>
      <c r="D32" s="34"/>
      <c r="E32" s="34"/>
      <c r="F32" s="34"/>
      <c r="G32" s="32"/>
      <c r="H32" s="35"/>
    </row>
    <row r="33" spans="1:10" x14ac:dyDescent="0.45">
      <c r="A33" s="11" t="s">
        <v>28</v>
      </c>
      <c r="B33" s="37"/>
      <c r="C33" s="37"/>
      <c r="D33" s="37"/>
      <c r="E33" s="37"/>
      <c r="F33" s="37"/>
      <c r="G33" s="37"/>
      <c r="H33" s="35"/>
    </row>
    <row r="34" spans="1:10" x14ac:dyDescent="0.45">
      <c r="D34" s="42"/>
      <c r="E34" s="42"/>
      <c r="F34" s="42"/>
      <c r="G34" s="42"/>
    </row>
    <row r="35" spans="1:10" ht="14.65" thickBot="1" x14ac:dyDescent="0.5">
      <c r="A35" s="5" t="s">
        <v>64</v>
      </c>
      <c r="B35" s="8" t="s">
        <v>57</v>
      </c>
      <c r="C35" s="8" t="s">
        <v>58</v>
      </c>
      <c r="D35" s="8" t="s">
        <v>59</v>
      </c>
      <c r="E35" s="8" t="s">
        <v>60</v>
      </c>
      <c r="F35" s="8" t="s">
        <v>61</v>
      </c>
      <c r="G35" s="8" t="s">
        <v>62</v>
      </c>
      <c r="H35" s="65"/>
    </row>
    <row r="36" spans="1:10" x14ac:dyDescent="0.45">
      <c r="A36" t="s">
        <v>92</v>
      </c>
      <c r="B36" s="47"/>
      <c r="C36" s="47"/>
      <c r="D36" s="47"/>
      <c r="E36" s="47"/>
      <c r="F36" s="47"/>
      <c r="G36" s="31"/>
      <c r="H36" s="36"/>
    </row>
    <row r="37" spans="1:10" x14ac:dyDescent="0.45">
      <c r="A37" s="1" t="s">
        <v>18</v>
      </c>
      <c r="B37" s="64"/>
      <c r="C37" s="64"/>
      <c r="D37" s="64"/>
      <c r="E37" s="64"/>
      <c r="F37" s="64"/>
      <c r="G37" s="33"/>
      <c r="H37" s="36"/>
      <c r="J37" s="52"/>
    </row>
    <row r="38" spans="1:10" ht="14.65" thickBot="1" x14ac:dyDescent="0.5">
      <c r="A38" s="10" t="s">
        <v>19</v>
      </c>
      <c r="B38" s="66"/>
      <c r="C38" s="66"/>
      <c r="D38" s="66"/>
      <c r="E38" s="66"/>
      <c r="F38" s="66"/>
      <c r="G38" s="67"/>
      <c r="H38" s="36"/>
      <c r="J38" s="52"/>
    </row>
    <row r="39" spans="1:10" ht="14.65" thickBot="1" x14ac:dyDescent="0.5">
      <c r="A39" s="68" t="s">
        <v>66</v>
      </c>
      <c r="B39" s="69"/>
      <c r="C39" s="69"/>
      <c r="D39" s="69"/>
      <c r="E39" s="69"/>
      <c r="F39" s="69"/>
      <c r="G39" s="70"/>
      <c r="H39" s="36"/>
    </row>
    <row r="40" spans="1:10" x14ac:dyDescent="0.45">
      <c r="A40" s="11" t="s">
        <v>28</v>
      </c>
      <c r="B40" s="37"/>
      <c r="C40" s="37"/>
      <c r="D40" s="37"/>
      <c r="E40" s="37"/>
      <c r="F40" s="37"/>
      <c r="G40" s="37"/>
      <c r="H40" s="35"/>
    </row>
    <row r="42" spans="1:10" x14ac:dyDescent="0.45">
      <c r="A42" t="s">
        <v>25</v>
      </c>
      <c r="B42" s="58"/>
    </row>
    <row r="43" spans="1:10" x14ac:dyDescent="0.45">
      <c r="C43" s="13"/>
    </row>
  </sheetData>
  <mergeCells count="2">
    <mergeCell ref="I1:J1"/>
    <mergeCell ref="B12:G12"/>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Case</vt:lpstr>
      <vt:lpstr>Project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Howard</dc:creator>
  <cp:lastModifiedBy>Philip Howard</cp:lastModifiedBy>
  <dcterms:created xsi:type="dcterms:W3CDTF">2024-02-25T22:02:44Z</dcterms:created>
  <dcterms:modified xsi:type="dcterms:W3CDTF">2024-04-03T17:50:49Z</dcterms:modified>
</cp:coreProperties>
</file>