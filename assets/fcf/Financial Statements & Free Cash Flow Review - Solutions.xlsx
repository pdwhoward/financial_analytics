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5 - Financial Statements &amp; Free Cash Flow\4 - Exercises\1 - Review\"/>
    </mc:Choice>
  </mc:AlternateContent>
  <xr:revisionPtr revIDLastSave="0" documentId="13_ncr:1_{897CCD1A-3492-40BD-8CEA-A7823AC99FAD}" xr6:coauthVersionLast="47" xr6:coauthVersionMax="47" xr10:uidLastSave="{00000000-0000-0000-0000-000000000000}"/>
  <bookViews>
    <workbookView xWindow="-98" yWindow="-98" windowWidth="17115" windowHeight="10876" activeTab="1" xr2:uid="{6394BC74-EAE9-47A1-8528-22ED1E30B107}"/>
  </bookViews>
  <sheets>
    <sheet name="Project Description" sheetId="9" r:id="rId1"/>
    <sheet name="Financial Stat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F32" i="2"/>
  <c r="G6" i="2"/>
  <c r="O19" i="2"/>
  <c r="O22" i="2" s="1"/>
  <c r="N19" i="2"/>
  <c r="N22" i="2" s="1"/>
  <c r="F6" i="2"/>
  <c r="G5" i="2"/>
  <c r="F5" i="2"/>
  <c r="G7" i="2" l="1"/>
  <c r="G8" i="2" s="1"/>
  <c r="G9" i="2" s="1"/>
  <c r="F7" i="2"/>
  <c r="F8" i="2" s="1"/>
  <c r="F9" i="2" s="1"/>
  <c r="G39" i="2"/>
  <c r="G38" i="2"/>
  <c r="F38" i="2"/>
  <c r="G36" i="2"/>
  <c r="F36" i="2"/>
  <c r="D38" i="2"/>
  <c r="E38" i="2"/>
  <c r="C38" i="2"/>
  <c r="F10" i="2" l="1"/>
  <c r="F11" i="2"/>
  <c r="G11" i="2"/>
  <c r="G10" i="2"/>
  <c r="G37" i="2"/>
  <c r="G41" i="2" s="1"/>
  <c r="F37" i="2"/>
  <c r="D5" i="2"/>
  <c r="D36" i="2" s="1"/>
  <c r="C25" i="2" l="1"/>
  <c r="D25" i="2" s="1"/>
  <c r="E5" i="2" l="1"/>
  <c r="E36" i="2" s="1"/>
  <c r="E25" i="2"/>
  <c r="F25" i="2" s="1"/>
  <c r="G25" i="2" s="1"/>
  <c r="C24" i="2" l="1"/>
  <c r="D24" i="2" s="1"/>
  <c r="E24" i="2" s="1"/>
  <c r="F24" i="2" s="1"/>
  <c r="F26" i="2" l="1"/>
  <c r="G24" i="2"/>
  <c r="G26" i="2" s="1"/>
  <c r="D40" i="2"/>
  <c r="C40" i="2"/>
  <c r="B40" i="2"/>
  <c r="E37" i="2"/>
  <c r="E32" i="2"/>
  <c r="F39" i="2" s="1"/>
  <c r="F41" i="2" s="1"/>
  <c r="D32" i="2"/>
  <c r="C32" i="2"/>
  <c r="B32" i="2"/>
  <c r="C43" i="2"/>
  <c r="K19" i="2" l="1"/>
  <c r="L19" i="2"/>
  <c r="J26" i="2"/>
  <c r="M19" i="2"/>
  <c r="C39" i="2"/>
  <c r="J19" i="2"/>
  <c r="E39" i="2"/>
  <c r="E41" i="2" s="1"/>
  <c r="D39" i="2"/>
  <c r="C5" i="2"/>
  <c r="C36" i="2" s="1"/>
  <c r="B26" i="2"/>
  <c r="J22" i="2" l="1"/>
  <c r="J29" i="2" s="1"/>
  <c r="B16" i="2" s="1"/>
  <c r="C6" i="2"/>
  <c r="C7" i="2" s="1"/>
  <c r="C8" i="2" s="1"/>
  <c r="B41" i="2"/>
  <c r="C37" i="2"/>
  <c r="C41" i="2" s="1"/>
  <c r="D37" i="2"/>
  <c r="D41" i="2" s="1"/>
  <c r="C26" i="2"/>
  <c r="B43" i="2" l="1"/>
  <c r="D6" i="2"/>
  <c r="D7" i="2" s="1"/>
  <c r="K22" i="2"/>
  <c r="B19" i="2"/>
  <c r="B29" i="2" s="1"/>
  <c r="D26" i="2"/>
  <c r="E26" i="2"/>
  <c r="C9" i="2"/>
  <c r="C10" i="2" l="1"/>
  <c r="C11" i="2"/>
  <c r="M22" i="2"/>
  <c r="D8" i="2"/>
  <c r="D9" i="2" s="1"/>
  <c r="L22" i="2"/>
  <c r="E6" i="2"/>
  <c r="E7" i="2" s="1"/>
  <c r="D10" i="2" l="1"/>
  <c r="D11" i="2"/>
  <c r="K25" i="2"/>
  <c r="E8" i="2"/>
  <c r="E9" i="2" s="1"/>
  <c r="E10" i="2" l="1"/>
  <c r="E11" i="2"/>
  <c r="L25" i="2"/>
  <c r="K26" i="2"/>
  <c r="K29" i="2" l="1"/>
  <c r="C16" i="2" s="1"/>
  <c r="M25" i="2"/>
  <c r="N25" i="2" s="1"/>
  <c r="L26" i="2"/>
  <c r="N26" i="2" l="1"/>
  <c r="N29" i="2" s="1"/>
  <c r="F16" i="2" s="1"/>
  <c r="F19" i="2" s="1"/>
  <c r="F29" i="2" s="1"/>
  <c r="O25" i="2"/>
  <c r="O26" i="2" s="1"/>
  <c r="O29" i="2" s="1"/>
  <c r="G16" i="2" s="1"/>
  <c r="G19" i="2" s="1"/>
  <c r="G29" i="2" s="1"/>
  <c r="C19" i="2"/>
  <c r="C29" i="2" s="1"/>
  <c r="L29" i="2"/>
  <c r="D16" i="2" s="1"/>
  <c r="M26" i="2"/>
  <c r="D19" i="2" l="1"/>
  <c r="D29" i="2" s="1"/>
  <c r="M29" i="2"/>
  <c r="E16" i="2" s="1"/>
  <c r="E19" i="2" s="1"/>
  <c r="E29" i="2" s="1"/>
</calcChain>
</file>

<file path=xl/sharedStrings.xml><?xml version="1.0" encoding="utf-8"?>
<sst xmlns="http://schemas.openxmlformats.org/spreadsheetml/2006/main" count="89" uniqueCount="65">
  <si>
    <t>Cash</t>
  </si>
  <si>
    <t>Accounts Receivable</t>
  </si>
  <si>
    <t>Inventory</t>
  </si>
  <si>
    <t>Total Current Assets</t>
  </si>
  <si>
    <t>Net Fixed Assets</t>
  </si>
  <si>
    <t>Total Assets</t>
  </si>
  <si>
    <t>Accounts Payable</t>
  </si>
  <si>
    <t>Total Current Liabilities</t>
  </si>
  <si>
    <t>Long-term Debt</t>
  </si>
  <si>
    <t>Total Liabilities</t>
  </si>
  <si>
    <t>Assets</t>
  </si>
  <si>
    <t>Liabilities &amp; Equity</t>
  </si>
  <si>
    <t>Current Portion</t>
  </si>
  <si>
    <t>Total Liabilities &amp; Equity</t>
  </si>
  <si>
    <t>Equity</t>
  </si>
  <si>
    <t>Income Statement</t>
  </si>
  <si>
    <t>Sales</t>
  </si>
  <si>
    <t>- Depreciation</t>
  </si>
  <si>
    <t>EBIT</t>
  </si>
  <si>
    <t>- Interest</t>
  </si>
  <si>
    <t>= EBT</t>
  </si>
  <si>
    <t>- Tax</t>
  </si>
  <si>
    <t>= Net Income</t>
  </si>
  <si>
    <t>Tax Rate</t>
  </si>
  <si>
    <t>Year 0</t>
  </si>
  <si>
    <t>Year 1</t>
  </si>
  <si>
    <t>Year 2</t>
  </si>
  <si>
    <t>Year 3</t>
  </si>
  <si>
    <t>- COGS (Cost of Goods Sold)</t>
  </si>
  <si>
    <t>Interest Rate</t>
  </si>
  <si>
    <t xml:space="preserve">   Addition to Retained Earnings</t>
  </si>
  <si>
    <t xml:space="preserve">   Dividends</t>
  </si>
  <si>
    <t>Dividend Payout</t>
  </si>
  <si>
    <t>Working Capital Requirements</t>
  </si>
  <si>
    <t>Line of Credit</t>
  </si>
  <si>
    <t>Free Cash Flow</t>
  </si>
  <si>
    <t>+ Depreciation</t>
  </si>
  <si>
    <t>- Change WCR</t>
  </si>
  <si>
    <t>- Net Capital Expenditures</t>
  </si>
  <si>
    <t>- Cash Tax</t>
  </si>
  <si>
    <t>Retained Earnings</t>
  </si>
  <si>
    <t>Common Stock</t>
  </si>
  <si>
    <t>Plants, Property &amp; Equipment (PP&amp;E)</t>
  </si>
  <si>
    <t>Accumulated Depreciation</t>
  </si>
  <si>
    <t>Balance Sheet</t>
  </si>
  <si>
    <t>You will raise capital will come from three sources:</t>
  </si>
  <si>
    <t>The corporate tax rate is 30%.</t>
  </si>
  <si>
    <t>Assume cash is your residual.</t>
  </si>
  <si>
    <t>You are going to start a coffee business.</t>
  </si>
  <si>
    <t>You will need $500 to buy a coffee grinder. The business and equpiment will last five years. The equipment will be straight-line depreciated.</t>
  </si>
  <si>
    <t>1. You will utilize $100 from your bank's line of credit. You will repay the LoC by the end of year 5.</t>
  </si>
  <si>
    <t>2. You will sell $200 of long-term bonds. You will repay prinicpal in year 5. Both the LoC and bond have a cost of debt of 3%.</t>
  </si>
  <si>
    <t>3. You will issue $300 of equity.</t>
  </si>
  <si>
    <t>In years 1 through 4, you will have:</t>
  </si>
  <si>
    <t>1. $100 in accounts receivable. Customers will be fully repaid by the end of year 5.</t>
  </si>
  <si>
    <t>2. $150 in accounts payable. Suppliers will be fully repaid by the end of year 5.</t>
  </si>
  <si>
    <t>3. $100 in inventory. Your inventory will be sold off by the end of year 5.</t>
  </si>
  <si>
    <t>60% of the project's net income will be paid out to shareholders.</t>
  </si>
  <si>
    <t>At a WACC of 10%, calculate the project's NPV. Should you accept or reject the project?</t>
  </si>
  <si>
    <t>Year 4</t>
  </si>
  <si>
    <t>Year 5</t>
  </si>
  <si>
    <t>NPV @ WACC=10%</t>
  </si>
  <si>
    <t>Accept Project</t>
  </si>
  <si>
    <t>Sales is projected to be $2000 with a gross profit margin of 20% (i.e. $1,600 in COGS) in years 1 through 5.</t>
  </si>
  <si>
    <t>=EBIT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</si>
</sst>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quotePrefix="1"/>
    <xf numFmtId="0" fontId="3" fillId="0" borderId="2" xfId="0" applyFont="1" applyBorder="1"/>
    <xf numFmtId="0" fontId="4" fillId="0" borderId="0" xfId="0" applyFont="1"/>
    <xf numFmtId="0" fontId="4" fillId="0" borderId="2" xfId="0" applyFont="1" applyBorder="1"/>
    <xf numFmtId="0" fontId="3" fillId="0" borderId="0" xfId="0" applyFont="1"/>
    <xf numFmtId="0" fontId="4" fillId="0" borderId="0" xfId="0" quotePrefix="1" applyFont="1"/>
    <xf numFmtId="0" fontId="4" fillId="0" borderId="1" xfId="0" applyFont="1" applyBorder="1"/>
    <xf numFmtId="0" fontId="4" fillId="0" borderId="3" xfId="0" applyFont="1" applyBorder="1"/>
    <xf numFmtId="0" fontId="1" fillId="0" borderId="2" xfId="0" applyFont="1" applyBorder="1"/>
    <xf numFmtId="0" fontId="0" fillId="0" borderId="1" xfId="0" applyBorder="1"/>
    <xf numFmtId="9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164" fontId="1" fillId="0" borderId="0" xfId="1" applyNumberFormat="1" applyFont="1"/>
    <xf numFmtId="0" fontId="3" fillId="0" borderId="2" xfId="1" applyNumberFormat="1" applyFont="1" applyFill="1" applyBorder="1" applyAlignment="1">
      <alignment horizontal="center"/>
    </xf>
    <xf numFmtId="164" fontId="0" fillId="0" borderId="0" xfId="1" quotePrefix="1" applyNumberFormat="1" applyFont="1" applyAlignment="1">
      <alignment horizontal="left"/>
    </xf>
    <xf numFmtId="8" fontId="0" fillId="0" borderId="0" xfId="0" applyNumberFormat="1"/>
    <xf numFmtId="164" fontId="0" fillId="0" borderId="0" xfId="1" applyNumberFormat="1" applyFont="1" applyBorder="1"/>
    <xf numFmtId="0" fontId="4" fillId="0" borderId="2" xfId="0" quotePrefix="1" applyFont="1" applyBorder="1"/>
    <xf numFmtId="164" fontId="0" fillId="0" borderId="0" xfId="1" quotePrefix="1" applyNumberFormat="1" applyFont="1" applyAlignment="1"/>
    <xf numFmtId="0" fontId="1" fillId="0" borderId="0" xfId="0" applyFont="1"/>
    <xf numFmtId="164" fontId="0" fillId="0" borderId="0" xfId="0" applyNumberFormat="1"/>
    <xf numFmtId="164" fontId="0" fillId="0" borderId="0" xfId="1" applyNumberFormat="1" applyFont="1" applyAlignment="1">
      <alignment vertical="top" wrapText="1"/>
    </xf>
    <xf numFmtId="164" fontId="0" fillId="2" borderId="1" xfId="1" applyNumberFormat="1" applyFont="1" applyFill="1" applyBorder="1"/>
    <xf numFmtId="164" fontId="0" fillId="2" borderId="0" xfId="1" applyNumberFormat="1" applyFont="1" applyFill="1"/>
    <xf numFmtId="44" fontId="0" fillId="2" borderId="1" xfId="1" applyFont="1" applyFill="1" applyBorder="1"/>
    <xf numFmtId="164" fontId="1" fillId="2" borderId="4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164" fontId="0" fillId="2" borderId="1" xfId="1" applyNumberFormat="1" applyFont="1" applyFill="1" applyBorder="1" applyAlignment="1"/>
    <xf numFmtId="164" fontId="4" fillId="2" borderId="3" xfId="1" applyNumberFormat="1" applyFont="1" applyFill="1" applyBorder="1" applyAlignment="1">
      <alignment horizontal="right"/>
    </xf>
    <xf numFmtId="164" fontId="4" fillId="2" borderId="0" xfId="1" applyNumberFormat="1" applyFont="1" applyFill="1" applyAlignment="1">
      <alignment horizontal="right"/>
    </xf>
    <xf numFmtId="164" fontId="4" fillId="2" borderId="1" xfId="1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/>
    <xf numFmtId="0" fontId="0" fillId="2" borderId="1" xfId="0" applyFill="1" applyBorder="1"/>
    <xf numFmtId="164" fontId="0" fillId="2" borderId="1" xfId="0" applyNumberFormat="1" applyFill="1" applyBorder="1"/>
    <xf numFmtId="164" fontId="4" fillId="2" borderId="2" xfId="1" applyNumberFormat="1" applyFont="1" applyFill="1" applyBorder="1" applyAlignment="1"/>
    <xf numFmtId="164" fontId="3" fillId="2" borderId="0" xfId="1" applyNumberFormat="1" applyFont="1" applyFill="1" applyBorder="1" applyAlignment="1">
      <alignment horizontal="right"/>
    </xf>
    <xf numFmtId="164" fontId="1" fillId="2" borderId="0" xfId="1" applyNumberFormat="1" applyFont="1" applyFill="1"/>
    <xf numFmtId="164" fontId="0" fillId="2" borderId="0" xfId="0" quotePrefix="1" applyNumberFormat="1" applyFill="1"/>
    <xf numFmtId="164" fontId="0" fillId="2" borderId="0" xfId="1" applyNumberFormat="1" applyFont="1" applyFill="1" applyBorder="1"/>
    <xf numFmtId="164" fontId="4" fillId="2" borderId="2" xfId="1" applyNumberFormat="1" applyFont="1" applyFill="1" applyBorder="1" applyAlignment="1">
      <alignment horizontal="right"/>
    </xf>
    <xf numFmtId="164" fontId="0" fillId="2" borderId="2" xfId="1" applyNumberFormat="1" applyFont="1" applyFill="1" applyBorder="1"/>
    <xf numFmtId="0" fontId="2" fillId="0" borderId="0" xfId="1" applyNumberFormat="1" applyFont="1" applyAlignment="1"/>
    <xf numFmtId="0" fontId="2" fillId="0" borderId="0" xfId="1" applyNumberFormat="1" applyFont="1" applyAlignment="1">
      <alignment horizontal="left"/>
    </xf>
    <xf numFmtId="9" fontId="1" fillId="0" borderId="0" xfId="2" applyFont="1"/>
    <xf numFmtId="44" fontId="0" fillId="0" borderId="0" xfId="1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1" fillId="0" borderId="4" xfId="0" quotePrefix="1" applyFont="1" applyBorder="1" applyAlignment="1">
      <alignment horizontal="left"/>
    </xf>
    <xf numFmtId="0" fontId="0" fillId="0" borderId="6" xfId="0" quotePrefix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EB0D-3A27-486D-AC6C-E43C29FCDDD3}">
  <dimension ref="A1:A23"/>
  <sheetViews>
    <sheetView workbookViewId="0">
      <selection activeCell="G19" sqref="G19"/>
    </sheetView>
  </sheetViews>
  <sheetFormatPr defaultRowHeight="14.25" x14ac:dyDescent="0.45"/>
  <sheetData>
    <row r="1" spans="1:1" x14ac:dyDescent="0.45">
      <c r="A1" t="s">
        <v>48</v>
      </c>
    </row>
    <row r="3" spans="1:1" x14ac:dyDescent="0.45">
      <c r="A3" t="s">
        <v>49</v>
      </c>
    </row>
    <row r="5" spans="1:1" x14ac:dyDescent="0.45">
      <c r="A5" t="s">
        <v>45</v>
      </c>
    </row>
    <row r="6" spans="1:1" x14ac:dyDescent="0.45">
      <c r="A6" t="s">
        <v>50</v>
      </c>
    </row>
    <row r="7" spans="1:1" x14ac:dyDescent="0.45">
      <c r="A7" t="s">
        <v>51</v>
      </c>
    </row>
    <row r="8" spans="1:1" x14ac:dyDescent="0.45">
      <c r="A8" t="s">
        <v>52</v>
      </c>
    </row>
    <row r="10" spans="1:1" x14ac:dyDescent="0.45">
      <c r="A10" t="s">
        <v>53</v>
      </c>
    </row>
    <row r="11" spans="1:1" x14ac:dyDescent="0.45">
      <c r="A11" t="s">
        <v>54</v>
      </c>
    </row>
    <row r="12" spans="1:1" x14ac:dyDescent="0.45">
      <c r="A12" t="s">
        <v>55</v>
      </c>
    </row>
    <row r="13" spans="1:1" x14ac:dyDescent="0.45">
      <c r="A13" t="s">
        <v>56</v>
      </c>
    </row>
    <row r="15" spans="1:1" x14ac:dyDescent="0.45">
      <c r="A15" t="s">
        <v>57</v>
      </c>
    </row>
    <row r="17" spans="1:1" x14ac:dyDescent="0.45">
      <c r="A17" t="s">
        <v>46</v>
      </c>
    </row>
    <row r="19" spans="1:1" x14ac:dyDescent="0.45">
      <c r="A19" t="s">
        <v>63</v>
      </c>
    </row>
    <row r="21" spans="1:1" x14ac:dyDescent="0.45">
      <c r="A21" t="s">
        <v>47</v>
      </c>
    </row>
    <row r="23" spans="1:1" x14ac:dyDescent="0.45">
      <c r="A2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FB90-26B1-44C9-90FF-AB3D820DD8A7}">
  <dimension ref="A1:O52"/>
  <sheetViews>
    <sheetView tabSelected="1" workbookViewId="0">
      <selection activeCell="A5" sqref="A5:B5"/>
    </sheetView>
  </sheetViews>
  <sheetFormatPr defaultRowHeight="14.25" x14ac:dyDescent="0.45"/>
  <cols>
    <col min="1" max="1" width="29.33203125" bestFit="1" customWidth="1"/>
    <col min="2" max="8" width="8.59765625" style="12" customWidth="1"/>
    <col min="9" max="9" width="19.59765625" bestFit="1" customWidth="1"/>
    <col min="10" max="15" width="8.59765625" customWidth="1"/>
  </cols>
  <sheetData>
    <row r="1" spans="1:15" ht="14.65" thickBot="1" x14ac:dyDescent="0.5">
      <c r="A1" s="48" t="s">
        <v>15</v>
      </c>
      <c r="B1" s="48"/>
      <c r="C1" s="15" t="s">
        <v>25</v>
      </c>
      <c r="D1" s="15" t="s">
        <v>26</v>
      </c>
      <c r="E1" s="15" t="s">
        <v>27</v>
      </c>
      <c r="F1" s="15" t="s">
        <v>59</v>
      </c>
      <c r="G1" s="15" t="s">
        <v>60</v>
      </c>
    </row>
    <row r="2" spans="1:15" x14ac:dyDescent="0.45">
      <c r="A2" s="49" t="s">
        <v>16</v>
      </c>
      <c r="B2" s="49"/>
      <c r="C2" s="12">
        <v>2000</v>
      </c>
      <c r="D2" s="12">
        <v>2000</v>
      </c>
      <c r="E2" s="12">
        <v>2000</v>
      </c>
      <c r="F2" s="12">
        <v>2000</v>
      </c>
      <c r="G2" s="12">
        <v>2000</v>
      </c>
      <c r="I2" t="s">
        <v>23</v>
      </c>
      <c r="J2" s="11">
        <v>0.3</v>
      </c>
    </row>
    <row r="3" spans="1:15" x14ac:dyDescent="0.45">
      <c r="A3" s="50" t="s">
        <v>28</v>
      </c>
      <c r="B3" s="50"/>
      <c r="C3" s="12">
        <v>1600</v>
      </c>
      <c r="D3" s="12">
        <v>1600</v>
      </c>
      <c r="E3" s="12">
        <v>1600</v>
      </c>
      <c r="F3" s="12">
        <v>1600</v>
      </c>
      <c r="G3" s="12">
        <v>1600</v>
      </c>
      <c r="I3" t="s">
        <v>29</v>
      </c>
      <c r="J3" s="11">
        <v>0.03</v>
      </c>
    </row>
    <row r="4" spans="1:15" x14ac:dyDescent="0.45">
      <c r="A4" s="51" t="s">
        <v>17</v>
      </c>
      <c r="B4" s="51"/>
      <c r="C4" s="24">
        <v>100</v>
      </c>
      <c r="D4" s="24">
        <v>100</v>
      </c>
      <c r="E4" s="24">
        <v>100</v>
      </c>
      <c r="F4" s="24">
        <v>100</v>
      </c>
      <c r="G4" s="24">
        <v>100</v>
      </c>
      <c r="I4" t="s">
        <v>32</v>
      </c>
      <c r="J4" s="11">
        <v>0.6</v>
      </c>
    </row>
    <row r="5" spans="1:15" x14ac:dyDescent="0.45">
      <c r="A5" s="55" t="s">
        <v>64</v>
      </c>
      <c r="B5" s="52"/>
      <c r="C5" s="25">
        <f>C2-C3-C4</f>
        <v>300</v>
      </c>
      <c r="D5" s="25">
        <f t="shared" ref="D5:E5" si="0">D2-D3-D4</f>
        <v>300</v>
      </c>
      <c r="E5" s="25">
        <f t="shared" si="0"/>
        <v>300</v>
      </c>
      <c r="F5" s="25">
        <f t="shared" ref="F5:G5" si="1">F2-F3-F4</f>
        <v>300</v>
      </c>
      <c r="G5" s="25">
        <f t="shared" si="1"/>
        <v>300</v>
      </c>
      <c r="L5" s="17"/>
    </row>
    <row r="6" spans="1:15" x14ac:dyDescent="0.45">
      <c r="A6" s="51" t="s">
        <v>19</v>
      </c>
      <c r="B6" s="51"/>
      <c r="C6" s="26">
        <f>(J17+J21)*$J$3</f>
        <v>9</v>
      </c>
      <c r="D6" s="26">
        <f>(K17+K21)*$J$3</f>
        <v>9</v>
      </c>
      <c r="E6" s="26">
        <f>(L17+L21)*$J$3</f>
        <v>9</v>
      </c>
      <c r="F6" s="26">
        <f t="shared" ref="F6:G6" si="2">(M17+M21)*$J$3</f>
        <v>9</v>
      </c>
      <c r="G6" s="26">
        <f t="shared" si="2"/>
        <v>3</v>
      </c>
      <c r="H6" s="16"/>
      <c r="I6" s="46"/>
    </row>
    <row r="7" spans="1:15" x14ac:dyDescent="0.45">
      <c r="A7" s="50" t="s">
        <v>20</v>
      </c>
      <c r="B7" s="50"/>
      <c r="C7" s="25">
        <f>C5-C6</f>
        <v>291</v>
      </c>
      <c r="D7" s="25">
        <f t="shared" ref="D7:E7" si="3">D5-D6</f>
        <v>291</v>
      </c>
      <c r="E7" s="25">
        <f t="shared" si="3"/>
        <v>291</v>
      </c>
      <c r="F7" s="25">
        <f t="shared" ref="F7:G7" si="4">F5-F6</f>
        <v>291</v>
      </c>
      <c r="G7" s="25">
        <f t="shared" si="4"/>
        <v>297</v>
      </c>
    </row>
    <row r="8" spans="1:15" x14ac:dyDescent="0.45">
      <c r="A8" s="51" t="s">
        <v>21</v>
      </c>
      <c r="B8" s="51"/>
      <c r="C8" s="24">
        <f>C7*$J$2</f>
        <v>87.3</v>
      </c>
      <c r="D8" s="24">
        <f>D7*$J$2</f>
        <v>87.3</v>
      </c>
      <c r="E8" s="24">
        <f>E7*$J$2</f>
        <v>87.3</v>
      </c>
      <c r="F8" s="24">
        <f t="shared" ref="F8:G8" si="5">F7*$J$2</f>
        <v>87.3</v>
      </c>
      <c r="G8" s="24">
        <f t="shared" si="5"/>
        <v>89.1</v>
      </c>
      <c r="H8" s="13"/>
    </row>
    <row r="9" spans="1:15" x14ac:dyDescent="0.45">
      <c r="A9" s="54" t="s">
        <v>22</v>
      </c>
      <c r="B9" s="54"/>
      <c r="C9" s="27">
        <f>C7-C8</f>
        <v>203.7</v>
      </c>
      <c r="D9" s="27">
        <f t="shared" ref="D9:E9" si="6">D7-D8</f>
        <v>203.7</v>
      </c>
      <c r="E9" s="27">
        <f t="shared" si="6"/>
        <v>203.7</v>
      </c>
      <c r="F9" s="27">
        <f t="shared" ref="F9:G9" si="7">F7-F8</f>
        <v>203.7</v>
      </c>
      <c r="G9" s="27">
        <f t="shared" si="7"/>
        <v>207.9</v>
      </c>
    </row>
    <row r="10" spans="1:15" x14ac:dyDescent="0.45">
      <c r="A10" s="53" t="s">
        <v>30</v>
      </c>
      <c r="B10" s="53"/>
      <c r="C10" s="25">
        <f>C9*(1-$J$4)</f>
        <v>81.48</v>
      </c>
      <c r="D10" s="25">
        <f>D9*(1-$J$4)</f>
        <v>81.48</v>
      </c>
      <c r="E10" s="25">
        <f>E9*(1-$J$4)</f>
        <v>81.48</v>
      </c>
      <c r="F10" s="25">
        <f t="shared" ref="F10:G10" si="8">F9*(1-$J$4)</f>
        <v>81.48</v>
      </c>
      <c r="G10" s="25">
        <f t="shared" si="8"/>
        <v>83.160000000000011</v>
      </c>
      <c r="H10" s="20"/>
      <c r="I10" s="20"/>
    </row>
    <row r="11" spans="1:15" x14ac:dyDescent="0.45">
      <c r="A11" s="53" t="s">
        <v>31</v>
      </c>
      <c r="B11" s="53"/>
      <c r="C11" s="25">
        <f>C9*$J$4</f>
        <v>122.21999999999998</v>
      </c>
      <c r="D11" s="25">
        <f>D9*$J$4</f>
        <v>122.21999999999998</v>
      </c>
      <c r="E11" s="25">
        <f>E9*$J$4</f>
        <v>122.21999999999998</v>
      </c>
      <c r="F11" s="25">
        <f t="shared" ref="F11:G11" si="9">F9*$J$4</f>
        <v>122.21999999999998</v>
      </c>
      <c r="G11" s="25">
        <f t="shared" si="9"/>
        <v>124.74</v>
      </c>
      <c r="H11" s="20"/>
      <c r="I11" s="20"/>
      <c r="K11" s="22"/>
    </row>
    <row r="14" spans="1:15" ht="14.65" thickBot="1" x14ac:dyDescent="0.5">
      <c r="A14" s="47" t="s">
        <v>44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  <row r="15" spans="1:15" ht="14.65" thickBot="1" x14ac:dyDescent="0.5">
      <c r="A15" s="2" t="s">
        <v>10</v>
      </c>
      <c r="B15" s="15" t="s">
        <v>24</v>
      </c>
      <c r="C15" s="15" t="s">
        <v>25</v>
      </c>
      <c r="D15" s="15" t="s">
        <v>26</v>
      </c>
      <c r="E15" s="15" t="s">
        <v>27</v>
      </c>
      <c r="F15" s="15" t="s">
        <v>59</v>
      </c>
      <c r="G15" s="15" t="s">
        <v>60</v>
      </c>
      <c r="I15" s="9" t="s">
        <v>11</v>
      </c>
      <c r="J15" s="15" t="s">
        <v>24</v>
      </c>
      <c r="K15" s="15" t="s">
        <v>25</v>
      </c>
      <c r="L15" s="15" t="s">
        <v>26</v>
      </c>
      <c r="M15" s="15" t="s">
        <v>27</v>
      </c>
      <c r="N15" s="15" t="s">
        <v>59</v>
      </c>
      <c r="O15" s="15" t="s">
        <v>60</v>
      </c>
    </row>
    <row r="16" spans="1:15" x14ac:dyDescent="0.45">
      <c r="A16" s="3" t="s">
        <v>0</v>
      </c>
      <c r="B16" s="28">
        <f>J29-(B17+B18+B26)</f>
        <v>100</v>
      </c>
      <c r="C16" s="28">
        <f>K29-(C17+C18+C26)</f>
        <v>231.48000000000002</v>
      </c>
      <c r="D16" s="28">
        <f>L29-(D17+D18+D26)</f>
        <v>412.96000000000004</v>
      </c>
      <c r="E16" s="28">
        <f>M29-(E17+E18+E26)</f>
        <v>594.44000000000005</v>
      </c>
      <c r="F16" s="28">
        <f t="shared" ref="F16:G16" si="10">N29-(F17+F18+F26)</f>
        <v>775.92000000000007</v>
      </c>
      <c r="G16" s="28">
        <f t="shared" si="10"/>
        <v>709.08</v>
      </c>
      <c r="H16" s="23"/>
      <c r="I16" s="6" t="s">
        <v>6</v>
      </c>
      <c r="J16" s="28">
        <v>0</v>
      </c>
      <c r="K16" s="25">
        <v>150</v>
      </c>
      <c r="L16" s="25">
        <v>150</v>
      </c>
      <c r="M16" s="25">
        <v>150</v>
      </c>
      <c r="N16" s="25">
        <v>150</v>
      </c>
      <c r="O16" s="25">
        <v>0</v>
      </c>
    </row>
    <row r="17" spans="1:15" x14ac:dyDescent="0.45">
      <c r="A17" s="3" t="s">
        <v>1</v>
      </c>
      <c r="B17" s="31">
        <v>0</v>
      </c>
      <c r="C17" s="25">
        <v>100</v>
      </c>
      <c r="D17" s="25">
        <v>100</v>
      </c>
      <c r="E17" s="25">
        <v>100</v>
      </c>
      <c r="F17" s="25">
        <v>100</v>
      </c>
      <c r="G17" s="25">
        <v>0</v>
      </c>
      <c r="H17" s="23"/>
      <c r="I17" s="3" t="s">
        <v>34</v>
      </c>
      <c r="J17" s="28">
        <v>100</v>
      </c>
      <c r="K17" s="28">
        <v>100</v>
      </c>
      <c r="L17" s="28">
        <v>100</v>
      </c>
      <c r="M17" s="28">
        <v>100</v>
      </c>
      <c r="N17" s="28">
        <v>100</v>
      </c>
      <c r="O17" s="28">
        <v>0</v>
      </c>
    </row>
    <row r="18" spans="1:15" x14ac:dyDescent="0.45">
      <c r="A18" s="7" t="s">
        <v>2</v>
      </c>
      <c r="B18" s="32">
        <v>0</v>
      </c>
      <c r="C18" s="24">
        <v>100</v>
      </c>
      <c r="D18" s="24">
        <v>100</v>
      </c>
      <c r="E18" s="24">
        <v>100</v>
      </c>
      <c r="F18" s="24">
        <v>100</v>
      </c>
      <c r="G18" s="24">
        <v>0</v>
      </c>
      <c r="H18" s="23"/>
      <c r="I18" s="10" t="s">
        <v>12</v>
      </c>
      <c r="J18" s="24">
        <v>0</v>
      </c>
      <c r="K18" s="24">
        <v>0</v>
      </c>
      <c r="L18" s="24">
        <v>0</v>
      </c>
      <c r="M18" s="24">
        <v>0</v>
      </c>
      <c r="N18" s="24">
        <v>200</v>
      </c>
      <c r="O18" s="24">
        <v>0</v>
      </c>
    </row>
    <row r="19" spans="1:15" x14ac:dyDescent="0.45">
      <c r="A19" s="3" t="s">
        <v>3</v>
      </c>
      <c r="B19" s="28">
        <f>SUM(B16:B18)</f>
        <v>100</v>
      </c>
      <c r="C19" s="28">
        <f t="shared" ref="C19:E19" si="11">SUM(C16:C18)</f>
        <v>431.48</v>
      </c>
      <c r="D19" s="28">
        <f t="shared" si="11"/>
        <v>612.96</v>
      </c>
      <c r="E19" s="28">
        <f t="shared" si="11"/>
        <v>794.44</v>
      </c>
      <c r="F19" s="28">
        <f t="shared" ref="F19:G19" si="12">SUM(F16:F18)</f>
        <v>975.92000000000007</v>
      </c>
      <c r="G19" s="28">
        <f t="shared" si="12"/>
        <v>709.08</v>
      </c>
      <c r="I19" s="3" t="s">
        <v>7</v>
      </c>
      <c r="J19" s="28">
        <f>SUM(J16:J18)</f>
        <v>100</v>
      </c>
      <c r="K19" s="28">
        <f>SUM(K16:K18)</f>
        <v>250</v>
      </c>
      <c r="L19" s="28">
        <f t="shared" ref="L19:M19" si="13">SUM(L16:L18)</f>
        <v>250</v>
      </c>
      <c r="M19" s="28">
        <f t="shared" si="13"/>
        <v>250</v>
      </c>
      <c r="N19" s="28">
        <f t="shared" ref="N19:O19" si="14">SUM(N16:N18)</f>
        <v>450</v>
      </c>
      <c r="O19" s="28">
        <f t="shared" si="14"/>
        <v>0</v>
      </c>
    </row>
    <row r="20" spans="1:15" x14ac:dyDescent="0.45">
      <c r="J20" s="12"/>
      <c r="K20" s="12"/>
      <c r="L20" s="12"/>
      <c r="M20" s="12"/>
      <c r="N20" s="12"/>
      <c r="O20" s="12"/>
    </row>
    <row r="21" spans="1:15" x14ac:dyDescent="0.45">
      <c r="I21" s="7" t="s">
        <v>8</v>
      </c>
      <c r="J21" s="32">
        <v>200</v>
      </c>
      <c r="K21" s="32">
        <v>200</v>
      </c>
      <c r="L21" s="32">
        <v>200</v>
      </c>
      <c r="M21" s="32">
        <v>200</v>
      </c>
      <c r="N21" s="32">
        <v>0</v>
      </c>
      <c r="O21" s="32">
        <v>0</v>
      </c>
    </row>
    <row r="22" spans="1:15" x14ac:dyDescent="0.45">
      <c r="I22" s="3" t="s">
        <v>9</v>
      </c>
      <c r="J22" s="33">
        <f>J19+J21</f>
        <v>300</v>
      </c>
      <c r="K22" s="33">
        <f t="shared" ref="K22:M22" si="15">K19+K21</f>
        <v>450</v>
      </c>
      <c r="L22" s="33">
        <f t="shared" si="15"/>
        <v>450</v>
      </c>
      <c r="M22" s="33">
        <f t="shared" si="15"/>
        <v>450</v>
      </c>
      <c r="N22" s="33">
        <f t="shared" ref="N22:O22" si="16">N19+N21</f>
        <v>450</v>
      </c>
      <c r="O22" s="33">
        <f t="shared" si="16"/>
        <v>0</v>
      </c>
    </row>
    <row r="24" spans="1:15" x14ac:dyDescent="0.45">
      <c r="A24" t="s">
        <v>42</v>
      </c>
      <c r="B24" s="28">
        <v>500</v>
      </c>
      <c r="C24" s="28">
        <f>B24</f>
        <v>500</v>
      </c>
      <c r="D24" s="28">
        <f t="shared" ref="D24:E24" si="17">C24</f>
        <v>500</v>
      </c>
      <c r="E24" s="28">
        <f t="shared" si="17"/>
        <v>500</v>
      </c>
      <c r="F24" s="28">
        <f t="shared" ref="F24" si="18">E24</f>
        <v>500</v>
      </c>
      <c r="G24" s="28">
        <f t="shared" ref="G24" si="19">F24</f>
        <v>500</v>
      </c>
      <c r="I24" t="s">
        <v>41</v>
      </c>
      <c r="J24" s="25">
        <v>300</v>
      </c>
      <c r="K24" s="25">
        <v>300</v>
      </c>
      <c r="L24" s="25">
        <v>300</v>
      </c>
      <c r="M24" s="25">
        <v>300</v>
      </c>
      <c r="N24" s="25">
        <v>300</v>
      </c>
      <c r="O24" s="25">
        <v>300</v>
      </c>
    </row>
    <row r="25" spans="1:15" x14ac:dyDescent="0.45">
      <c r="A25" s="7" t="s">
        <v>43</v>
      </c>
      <c r="B25" s="29">
        <v>0</v>
      </c>
      <c r="C25" s="29">
        <f>B25+C4</f>
        <v>100</v>
      </c>
      <c r="D25" s="29">
        <f t="shared" ref="D25:E25" si="20">C25+D4</f>
        <v>200</v>
      </c>
      <c r="E25" s="29">
        <f t="shared" si="20"/>
        <v>300</v>
      </c>
      <c r="F25" s="29">
        <f t="shared" ref="F25" si="21">E25+F4</f>
        <v>400</v>
      </c>
      <c r="G25" s="29">
        <f t="shared" ref="G25" si="22">F25+G4</f>
        <v>500</v>
      </c>
      <c r="I25" s="7" t="s">
        <v>40</v>
      </c>
      <c r="J25" s="34">
        <v>0</v>
      </c>
      <c r="K25" s="35">
        <f>J25+C10</f>
        <v>81.48</v>
      </c>
      <c r="L25" s="35">
        <f>K25+D10</f>
        <v>162.96</v>
      </c>
      <c r="M25" s="35">
        <f>L25+E10</f>
        <v>244.44</v>
      </c>
      <c r="N25" s="35">
        <f t="shared" ref="N25:O25" si="23">M25+F10</f>
        <v>325.92</v>
      </c>
      <c r="O25" s="35">
        <f t="shared" si="23"/>
        <v>409.08000000000004</v>
      </c>
    </row>
    <row r="26" spans="1:15" ht="14.65" thickBot="1" x14ac:dyDescent="0.5">
      <c r="A26" s="8" t="s">
        <v>4</v>
      </c>
      <c r="B26" s="30">
        <f>B24-B25</f>
        <v>500</v>
      </c>
      <c r="C26" s="30">
        <f t="shared" ref="C26:E26" si="24">C24-C25</f>
        <v>400</v>
      </c>
      <c r="D26" s="30">
        <f t="shared" si="24"/>
        <v>300</v>
      </c>
      <c r="E26" s="30">
        <f t="shared" si="24"/>
        <v>200</v>
      </c>
      <c r="F26" s="30">
        <f t="shared" ref="F26:G26" si="25">F24-F25</f>
        <v>100</v>
      </c>
      <c r="G26" s="30">
        <f t="shared" si="25"/>
        <v>0</v>
      </c>
      <c r="I26" s="4" t="s">
        <v>14</v>
      </c>
      <c r="J26" s="36">
        <f>J24+J25</f>
        <v>300</v>
      </c>
      <c r="K26" s="36">
        <f t="shared" ref="K26:M26" si="26">K24+K25</f>
        <v>381.48</v>
      </c>
      <c r="L26" s="36">
        <f t="shared" si="26"/>
        <v>462.96000000000004</v>
      </c>
      <c r="M26" s="36">
        <f t="shared" si="26"/>
        <v>544.44000000000005</v>
      </c>
      <c r="N26" s="36">
        <f t="shared" ref="N26:O26" si="27">N24+N25</f>
        <v>625.92000000000007</v>
      </c>
      <c r="O26" s="36">
        <f t="shared" si="27"/>
        <v>709.08</v>
      </c>
    </row>
    <row r="28" spans="1:15" x14ac:dyDescent="0.45">
      <c r="J28" s="12"/>
      <c r="K28" s="12"/>
      <c r="L28" s="12"/>
      <c r="M28" s="12"/>
      <c r="N28" s="12"/>
      <c r="O28" s="12"/>
    </row>
    <row r="29" spans="1:15" x14ac:dyDescent="0.45">
      <c r="A29" s="5" t="s">
        <v>5</v>
      </c>
      <c r="B29" s="37">
        <f>B19+B26</f>
        <v>600</v>
      </c>
      <c r="C29" s="37">
        <f>C19+C26</f>
        <v>831.48</v>
      </c>
      <c r="D29" s="37">
        <f>D19+D26</f>
        <v>912.96</v>
      </c>
      <c r="E29" s="37">
        <f>E19+E26</f>
        <v>994.44</v>
      </c>
      <c r="F29" s="37">
        <f t="shared" ref="F29:G29" si="28">F19+F26</f>
        <v>1075.92</v>
      </c>
      <c r="G29" s="37">
        <f t="shared" si="28"/>
        <v>709.08</v>
      </c>
      <c r="I29" s="5" t="s">
        <v>13</v>
      </c>
      <c r="J29" s="38">
        <f>J22+J26</f>
        <v>600</v>
      </c>
      <c r="K29" s="38">
        <f>K22+K26</f>
        <v>831.48</v>
      </c>
      <c r="L29" s="38">
        <f>L22+L26</f>
        <v>912.96</v>
      </c>
      <c r="M29" s="38">
        <f>M22+M26</f>
        <v>994.44</v>
      </c>
      <c r="N29" s="38">
        <f t="shared" ref="N29:O29" si="29">N22+N26</f>
        <v>1075.92</v>
      </c>
      <c r="O29" s="38">
        <f t="shared" si="29"/>
        <v>709.08</v>
      </c>
    </row>
    <row r="31" spans="1:15" ht="14.65" thickBot="1" x14ac:dyDescent="0.5">
      <c r="B31" s="15" t="s">
        <v>24</v>
      </c>
      <c r="C31" s="15" t="s">
        <v>25</v>
      </c>
      <c r="D31" s="15" t="s">
        <v>26</v>
      </c>
      <c r="E31" s="15" t="s">
        <v>27</v>
      </c>
      <c r="F31" s="15" t="s">
        <v>59</v>
      </c>
      <c r="G31" s="15" t="s">
        <v>60</v>
      </c>
    </row>
    <row r="32" spans="1:15" x14ac:dyDescent="0.45">
      <c r="A32" s="3" t="s">
        <v>33</v>
      </c>
      <c r="B32" s="31">
        <f>B17+B18-J16</f>
        <v>0</v>
      </c>
      <c r="C32" s="31">
        <f>C17+C18-K16</f>
        <v>50</v>
      </c>
      <c r="D32" s="31">
        <f>D17+D18-L16</f>
        <v>50</v>
      </c>
      <c r="E32" s="31">
        <f>E17+E18-M16</f>
        <v>50</v>
      </c>
      <c r="F32" s="31">
        <f t="shared" ref="F32:G32" si="30">F17+F18-N16</f>
        <v>50</v>
      </c>
      <c r="G32" s="31">
        <f t="shared" si="30"/>
        <v>0</v>
      </c>
      <c r="I32" s="18"/>
      <c r="J32" s="18"/>
    </row>
    <row r="35" spans="1:8" ht="14.65" thickBot="1" x14ac:dyDescent="0.5">
      <c r="A35" s="2" t="s">
        <v>35</v>
      </c>
      <c r="B35" s="15" t="s">
        <v>24</v>
      </c>
      <c r="C35" s="15" t="s">
        <v>25</v>
      </c>
      <c r="D35" s="15" t="s">
        <v>26</v>
      </c>
      <c r="E35" s="15" t="s">
        <v>27</v>
      </c>
      <c r="F35" s="15" t="s">
        <v>59</v>
      </c>
      <c r="G35" s="15" t="s">
        <v>60</v>
      </c>
    </row>
    <row r="36" spans="1:8" x14ac:dyDescent="0.45">
      <c r="A36" s="3" t="s">
        <v>18</v>
      </c>
      <c r="B36" s="28">
        <v>0</v>
      </c>
      <c r="C36" s="28">
        <f>C5</f>
        <v>300</v>
      </c>
      <c r="D36" s="28">
        <f>D5</f>
        <v>300</v>
      </c>
      <c r="E36" s="28">
        <f>E5</f>
        <v>300</v>
      </c>
      <c r="F36" s="28">
        <f t="shared" ref="F36:G36" si="31">F5</f>
        <v>300</v>
      </c>
      <c r="G36" s="28">
        <f t="shared" si="31"/>
        <v>300</v>
      </c>
      <c r="H36" s="13"/>
    </row>
    <row r="37" spans="1:8" x14ac:dyDescent="0.45">
      <c r="A37" s="1" t="s">
        <v>39</v>
      </c>
      <c r="B37" s="31">
        <v>0</v>
      </c>
      <c r="C37" s="31">
        <f t="shared" ref="C37:E37" si="32">C36*$J$2</f>
        <v>90</v>
      </c>
      <c r="D37" s="31">
        <f t="shared" si="32"/>
        <v>90</v>
      </c>
      <c r="E37" s="31">
        <f t="shared" si="32"/>
        <v>90</v>
      </c>
      <c r="F37" s="31">
        <f t="shared" ref="F37:G37" si="33">F36*$J$2</f>
        <v>90</v>
      </c>
      <c r="G37" s="31">
        <f t="shared" si="33"/>
        <v>90</v>
      </c>
    </row>
    <row r="38" spans="1:8" x14ac:dyDescent="0.45">
      <c r="A38" s="1" t="s">
        <v>36</v>
      </c>
      <c r="B38" s="39">
        <v>0</v>
      </c>
      <c r="C38" s="39">
        <f>C4</f>
        <v>100</v>
      </c>
      <c r="D38" s="39">
        <f>D4</f>
        <v>100</v>
      </c>
      <c r="E38" s="39">
        <f>E4</f>
        <v>100</v>
      </c>
      <c r="F38" s="39">
        <f t="shared" ref="F38:G38" si="34">F4</f>
        <v>100</v>
      </c>
      <c r="G38" s="39">
        <f t="shared" si="34"/>
        <v>100</v>
      </c>
    </row>
    <row r="39" spans="1:8" x14ac:dyDescent="0.45">
      <c r="A39" s="1" t="s">
        <v>37</v>
      </c>
      <c r="B39" s="40">
        <v>0</v>
      </c>
      <c r="C39" s="40">
        <f>C32-B32</f>
        <v>50</v>
      </c>
      <c r="D39" s="40">
        <f>D32-C32</f>
        <v>0</v>
      </c>
      <c r="E39" s="40">
        <f>E32-D32</f>
        <v>0</v>
      </c>
      <c r="F39" s="40">
        <f t="shared" ref="F39:G39" si="35">F32-E32</f>
        <v>0</v>
      </c>
      <c r="G39" s="40">
        <f t="shared" si="35"/>
        <v>-50</v>
      </c>
    </row>
    <row r="40" spans="1:8" ht="14.65" thickBot="1" x14ac:dyDescent="0.5">
      <c r="A40" s="19" t="s">
        <v>38</v>
      </c>
      <c r="B40" s="41">
        <f>B24</f>
        <v>500</v>
      </c>
      <c r="C40" s="42">
        <f>C24-B24</f>
        <v>0</v>
      </c>
      <c r="D40" s="42">
        <f>D24-C24</f>
        <v>0</v>
      </c>
      <c r="E40" s="42">
        <v>0</v>
      </c>
      <c r="F40" s="42">
        <v>0</v>
      </c>
      <c r="G40" s="42">
        <v>0</v>
      </c>
    </row>
    <row r="41" spans="1:8" x14ac:dyDescent="0.45">
      <c r="A41" s="5" t="s">
        <v>35</v>
      </c>
      <c r="B41" s="37">
        <f>B36-B37+B38-B39-B40</f>
        <v>-500</v>
      </c>
      <c r="C41" s="37">
        <f t="shared" ref="C41:E41" si="36">C36-C37+C38-C39-C40</f>
        <v>260</v>
      </c>
      <c r="D41" s="37">
        <f t="shared" si="36"/>
        <v>310</v>
      </c>
      <c r="E41" s="37">
        <f t="shared" si="36"/>
        <v>310</v>
      </c>
      <c r="F41" s="37">
        <f t="shared" ref="F41:G41" si="37">F36-F37+F38-F39-F40</f>
        <v>310</v>
      </c>
      <c r="G41" s="37">
        <f t="shared" si="37"/>
        <v>360</v>
      </c>
    </row>
    <row r="42" spans="1:8" x14ac:dyDescent="0.45">
      <c r="H42" s="44"/>
    </row>
    <row r="43" spans="1:8" x14ac:dyDescent="0.45">
      <c r="A43" s="21" t="s">
        <v>61</v>
      </c>
      <c r="B43" s="38">
        <f>B41+NPV(10%,C41:G41)</f>
        <v>660.73541921503102</v>
      </c>
      <c r="C43" s="44" t="str">
        <f ca="1">_xlfn.FORMULATEXT(B43)</f>
        <v>=B41+NPV(10%,C41:G41)</v>
      </c>
      <c r="D43" s="44"/>
      <c r="E43" s="44"/>
      <c r="F43" s="44"/>
      <c r="G43" s="44"/>
      <c r="H43" s="43"/>
    </row>
    <row r="44" spans="1:8" x14ac:dyDescent="0.45">
      <c r="A44" s="21"/>
      <c r="B44" s="45" t="s">
        <v>62</v>
      </c>
      <c r="C44" s="43"/>
      <c r="D44" s="43"/>
      <c r="E44" s="43"/>
      <c r="F44" s="43"/>
      <c r="G44" s="43"/>
    </row>
    <row r="51" spans="9:15" x14ac:dyDescent="0.45">
      <c r="J51" s="12"/>
      <c r="K51" s="12"/>
      <c r="L51" s="12"/>
      <c r="M51" s="12"/>
      <c r="N51" s="12"/>
      <c r="O51" s="12"/>
    </row>
    <row r="52" spans="9:15" x14ac:dyDescent="0.45">
      <c r="I52" s="5"/>
      <c r="J52" s="14"/>
      <c r="K52" s="14"/>
      <c r="L52" s="14"/>
      <c r="M52" s="14"/>
      <c r="N52" s="14"/>
      <c r="O52" s="14"/>
    </row>
  </sheetData>
  <mergeCells count="12">
    <mergeCell ref="A14:O14"/>
    <mergeCell ref="A1:B1"/>
    <mergeCell ref="A2:B2"/>
    <mergeCell ref="A3:B3"/>
    <mergeCell ref="A4:B4"/>
    <mergeCell ref="A5:B5"/>
    <mergeCell ref="A11:B11"/>
    <mergeCell ref="A7:B7"/>
    <mergeCell ref="A6:B6"/>
    <mergeCell ref="A8:B8"/>
    <mergeCell ref="A9:B9"/>
    <mergeCell ref="A10:B10"/>
  </mergeCells>
  <phoneticPr fontId="5" type="noConversion"/>
  <pageMargins left="0.7" right="0.7" top="0.75" bottom="0.75" header="0.3" footer="0.3"/>
  <ignoredErrors>
    <ignoredError sqref="C8:D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Description</vt:lpstr>
      <vt:lpstr>Financial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2024-02-25T22:02:44Z</dcterms:created>
  <dcterms:modified xsi:type="dcterms:W3CDTF">2024-03-14T00:04:35Z</dcterms:modified>
</cp:coreProperties>
</file>