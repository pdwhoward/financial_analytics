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ancial Analytics\Course\4 - Capital Budgeting &amp; Project Financing\1 - Async\Excel\"/>
    </mc:Choice>
  </mc:AlternateContent>
  <xr:revisionPtr revIDLastSave="0" documentId="13_ncr:1_{6D54FA34-133A-4228-8412-7625FC3AB278}" xr6:coauthVersionLast="47" xr6:coauthVersionMax="47" xr10:uidLastSave="{00000000-0000-0000-0000-000000000000}"/>
  <bookViews>
    <workbookView xWindow="19090" yWindow="-110" windowWidth="19420" windowHeight="11020" activeTab="1" xr2:uid="{00000000-000D-0000-FFFF-FFFF00000000}"/>
  </bookViews>
  <sheets>
    <sheet name="Investment Rules" sheetId="1" r:id="rId1"/>
    <sheet name="WAC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B13" i="2"/>
  <c r="B12" i="2"/>
  <c r="B7" i="1"/>
  <c r="B9" i="1"/>
  <c r="I6" i="1"/>
  <c r="I7" i="1" s="1"/>
  <c r="I8" i="1" s="1"/>
  <c r="I9" i="1" s="1"/>
  <c r="C14" i="2"/>
  <c r="C7" i="1"/>
  <c r="J7" i="1"/>
  <c r="J6" i="1"/>
  <c r="J9" i="1"/>
  <c r="C12" i="2"/>
  <c r="C9" i="1"/>
  <c r="J8" i="1"/>
  <c r="C13" i="2"/>
</calcChain>
</file>

<file path=xl/sharedStrings.xml><?xml version="1.0" encoding="utf-8"?>
<sst xmlns="http://schemas.openxmlformats.org/spreadsheetml/2006/main" count="17" uniqueCount="17">
  <si>
    <t>A project cost $100 today and pays $50 for the next three years. The cost of capital is 10%. What is the…</t>
  </si>
  <si>
    <t>Payback Period</t>
  </si>
  <si>
    <t>NPV</t>
  </si>
  <si>
    <t>t</t>
  </si>
  <si>
    <t>CF</t>
  </si>
  <si>
    <t>Payback Tracker</t>
  </si>
  <si>
    <t>IRR</t>
  </si>
  <si>
    <t>You want to invest in a project that sells a new soda beverage. You plan to finance the project with 33% debt. The risk-free rate is 1% and your default spread is 5%. The market risk premium is 6% and your equity beta is 2. Your corporate tax rate is 30%. What is your WACC for the beverage project?</t>
  </si>
  <si>
    <t>Cost of Debt</t>
  </si>
  <si>
    <t>Rf</t>
  </si>
  <si>
    <t>Default Spread</t>
  </si>
  <si>
    <t>beta</t>
  </si>
  <si>
    <t>Market RP</t>
  </si>
  <si>
    <t>Cost of Equity</t>
  </si>
  <si>
    <t>Tax Rate</t>
  </si>
  <si>
    <t>Debt Weight</t>
  </si>
  <si>
    <t>WACC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</si>
</sst>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44" fontId="0" fillId="2" borderId="0" xfId="1" applyFont="1" applyFill="1"/>
    <xf numFmtId="9" fontId="0" fillId="2" borderId="0" xfId="0" applyNumberFormat="1" applyFill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64" fontId="1" fillId="0" borderId="0" xfId="1" applyNumberFormat="1" applyFont="1" applyAlignment="1">
      <alignment horizontal="center"/>
    </xf>
    <xf numFmtId="164" fontId="0" fillId="2" borderId="0" xfId="1" applyNumberFormat="1" applyFont="1" applyFill="1" applyAlignment="1">
      <alignment horizontal="center"/>
    </xf>
    <xf numFmtId="164" fontId="1" fillId="2" borderId="0" xfId="1" applyNumberFormat="1" applyFont="1" applyFill="1" applyAlignment="1">
      <alignment horizontal="center"/>
    </xf>
    <xf numFmtId="9" fontId="0" fillId="0" borderId="0" xfId="0" applyNumberFormat="1"/>
    <xf numFmtId="9" fontId="0" fillId="2" borderId="0" xfId="2" applyFont="1" applyFill="1"/>
    <xf numFmtId="0" fontId="0" fillId="0" borderId="0" xfId="0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workbookViewId="0">
      <selection sqref="A1:F2"/>
    </sheetView>
  </sheetViews>
  <sheetFormatPr defaultRowHeight="14.5" x14ac:dyDescent="0.35"/>
  <cols>
    <col min="1" max="1" width="14.36328125" customWidth="1"/>
    <col min="2" max="2" width="20" bestFit="1" customWidth="1"/>
    <col min="7" max="8" width="12.6328125" style="4" customWidth="1"/>
    <col min="9" max="9" width="14.54296875" style="4" bestFit="1" customWidth="1"/>
    <col min="10" max="10" width="6.6328125" bestFit="1" customWidth="1"/>
  </cols>
  <sheetData>
    <row r="1" spans="1:10" x14ac:dyDescent="0.35">
      <c r="A1" s="11" t="s">
        <v>0</v>
      </c>
      <c r="B1" s="11"/>
      <c r="C1" s="11"/>
      <c r="D1" s="11"/>
      <c r="E1" s="11"/>
      <c r="F1" s="11"/>
    </row>
    <row r="2" spans="1:10" x14ac:dyDescent="0.35">
      <c r="A2" s="11"/>
      <c r="B2" s="11"/>
      <c r="C2" s="11"/>
      <c r="D2" s="11"/>
      <c r="E2" s="11"/>
      <c r="F2" s="11"/>
    </row>
    <row r="5" spans="1:10" ht="15" thickBot="1" x14ac:dyDescent="0.4">
      <c r="A5" t="s">
        <v>1</v>
      </c>
      <c r="B5" s="1">
        <v>2</v>
      </c>
      <c r="G5" s="5" t="s">
        <v>3</v>
      </c>
      <c r="H5" s="5" t="s">
        <v>4</v>
      </c>
      <c r="I5" s="5" t="s">
        <v>5</v>
      </c>
    </row>
    <row r="6" spans="1:10" x14ac:dyDescent="0.35">
      <c r="G6" s="4">
        <v>0</v>
      </c>
      <c r="H6" s="6">
        <v>-100</v>
      </c>
      <c r="I6" s="7">
        <f>H6</f>
        <v>-100</v>
      </c>
      <c r="J6" t="str">
        <f ca="1">_xlfn.FORMULATEXT(I6)</f>
        <v>=H6</v>
      </c>
    </row>
    <row r="7" spans="1:10" x14ac:dyDescent="0.35">
      <c r="A7" t="s">
        <v>2</v>
      </c>
      <c r="B7" s="2">
        <f>H6+NPV(10%,H7:H9)</f>
        <v>24.342599549211116</v>
      </c>
      <c r="C7" t="str">
        <f ca="1">_xlfn.FORMULATEXT(B7)</f>
        <v>=H6+NPV(10%,H7:H9)</v>
      </c>
      <c r="G7" s="4">
        <v>1</v>
      </c>
      <c r="H7" s="6">
        <v>50</v>
      </c>
      <c r="I7" s="7">
        <f>H7+I6</f>
        <v>-50</v>
      </c>
      <c r="J7" t="str">
        <f t="shared" ref="J7:J9" ca="1" si="0">_xlfn.FORMULATEXT(I7)</f>
        <v>=H7+I6</v>
      </c>
    </row>
    <row r="8" spans="1:10" x14ac:dyDescent="0.35">
      <c r="G8" s="4">
        <v>2</v>
      </c>
      <c r="H8" s="6">
        <v>50</v>
      </c>
      <c r="I8" s="8">
        <f t="shared" ref="I8:I9" si="1">H8+I7</f>
        <v>0</v>
      </c>
      <c r="J8" t="str">
        <f t="shared" ca="1" si="0"/>
        <v>=H8+I7</v>
      </c>
    </row>
    <row r="9" spans="1:10" x14ac:dyDescent="0.35">
      <c r="A9" t="s">
        <v>6</v>
      </c>
      <c r="B9" s="3">
        <f>IRR(H6:H9)</f>
        <v>0.23375192852825655</v>
      </c>
      <c r="C9" t="str">
        <f ca="1">_xlfn.FORMULATEXT(B9)</f>
        <v>=IRR(H6:H9)</v>
      </c>
      <c r="G9" s="4">
        <v>3</v>
      </c>
      <c r="H9" s="6">
        <v>50</v>
      </c>
      <c r="I9" s="7">
        <f t="shared" si="1"/>
        <v>50</v>
      </c>
      <c r="J9" t="str">
        <f t="shared" ca="1" si="0"/>
        <v>=H9+I8</v>
      </c>
    </row>
  </sheetData>
  <mergeCells count="1">
    <mergeCell ref="A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98914-E552-4320-99AA-BBFC48E15540}">
  <dimension ref="A1:F14"/>
  <sheetViews>
    <sheetView tabSelected="1" workbookViewId="0">
      <selection activeCell="B14" sqref="B14"/>
    </sheetView>
  </sheetViews>
  <sheetFormatPr defaultRowHeight="14.5" x14ac:dyDescent="0.35"/>
  <cols>
    <col min="1" max="1" width="13.26953125" bestFit="1" customWidth="1"/>
    <col min="2" max="2" width="9.81640625" bestFit="1" customWidth="1"/>
  </cols>
  <sheetData>
    <row r="1" spans="1:6" x14ac:dyDescent="0.35">
      <c r="A1" s="11" t="s">
        <v>7</v>
      </c>
      <c r="B1" s="11"/>
      <c r="C1" s="11"/>
      <c r="D1" s="11"/>
      <c r="E1" s="11"/>
      <c r="F1" s="11"/>
    </row>
    <row r="2" spans="1:6" x14ac:dyDescent="0.35">
      <c r="A2" s="11"/>
      <c r="B2" s="11"/>
      <c r="C2" s="11"/>
      <c r="D2" s="11"/>
      <c r="E2" s="11"/>
      <c r="F2" s="11"/>
    </row>
    <row r="4" spans="1:6" x14ac:dyDescent="0.35">
      <c r="A4" t="s">
        <v>9</v>
      </c>
      <c r="B4" s="9">
        <v>0.01</v>
      </c>
    </row>
    <row r="5" spans="1:6" x14ac:dyDescent="0.35">
      <c r="A5" t="s">
        <v>10</v>
      </c>
      <c r="B5" s="9">
        <v>0.05</v>
      </c>
    </row>
    <row r="6" spans="1:6" x14ac:dyDescent="0.35">
      <c r="A6" t="s">
        <v>11</v>
      </c>
      <c r="B6">
        <v>2</v>
      </c>
    </row>
    <row r="7" spans="1:6" x14ac:dyDescent="0.35">
      <c r="A7" t="s">
        <v>12</v>
      </c>
      <c r="B7" s="9">
        <v>0.06</v>
      </c>
    </row>
    <row r="8" spans="1:6" x14ac:dyDescent="0.35">
      <c r="A8" t="s">
        <v>14</v>
      </c>
      <c r="B8" s="9">
        <v>0.3</v>
      </c>
    </row>
    <row r="9" spans="1:6" x14ac:dyDescent="0.35">
      <c r="A9" t="s">
        <v>15</v>
      </c>
      <c r="B9" s="9">
        <v>0.33</v>
      </c>
    </row>
    <row r="12" spans="1:6" x14ac:dyDescent="0.35">
      <c r="A12" t="s">
        <v>8</v>
      </c>
      <c r="B12" s="10">
        <f>B4+B5</f>
        <v>6.0000000000000005E-2</v>
      </c>
      <c r="C12" t="str">
        <f ca="1">_xlfn.FORMULATEXT(B12)</f>
        <v>=B4+B5</v>
      </c>
    </row>
    <row r="13" spans="1:6" x14ac:dyDescent="0.35">
      <c r="A13" t="s">
        <v>13</v>
      </c>
      <c r="B13" s="10">
        <f>B4+B6*B7</f>
        <v>0.13</v>
      </c>
      <c r="C13" t="str">
        <f ca="1">_xlfn.FORMULATEXT(B13)</f>
        <v>=B4+B6*B7</v>
      </c>
    </row>
    <row r="14" spans="1:6" x14ac:dyDescent="0.35">
      <c r="A14" t="s">
        <v>16</v>
      </c>
      <c r="B14" s="10">
        <f>B9*B12*(1-B8)+(1-B9)*B13</f>
        <v>0.10095999999999999</v>
      </c>
      <c r="C14" t="str">
        <f ca="1">_xlfn.FORMULATEXT(B14)</f>
        <v>=B9*B12*(1-B8)+(1-B9)*B13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Investment Rules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2015-06-05T18:17:20Z</dcterms:created>
  <dcterms:modified xsi:type="dcterms:W3CDTF">2024-02-13T03:56:55Z</dcterms:modified>
</cp:coreProperties>
</file>