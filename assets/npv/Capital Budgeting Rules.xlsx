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4 - Capital Budgeting &amp; Project Financing\1 - Async\Excel\"/>
    </mc:Choice>
  </mc:AlternateContent>
  <xr:revisionPtr revIDLastSave="0" documentId="13_ncr:1_{75974B44-84E6-4AB0-94A3-C725CD457370}" xr6:coauthVersionLast="47" xr6:coauthVersionMax="47" xr10:uidLastSave="{00000000-0000-0000-0000-000000000000}"/>
  <bookViews>
    <workbookView xWindow="-98" yWindow="-98" windowWidth="17115" windowHeight="10876" xr2:uid="{00000000-000D-0000-FFFF-FFFF00000000}"/>
  </bookViews>
  <sheets>
    <sheet name="Investment Rules" sheetId="1" r:id="rId1"/>
    <sheet name="WACC" sheetId="2" r:id="rId2"/>
    <sheet name="Financial Leverage" sheetId="3" r:id="rId3"/>
    <sheet name="Changing Capital Struc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5" i="4" s="1"/>
  <c r="B14" i="4"/>
  <c r="B7" i="3"/>
  <c r="E6" i="3"/>
  <c r="E7" i="3" s="1"/>
  <c r="E5" i="3"/>
  <c r="E4" i="3"/>
  <c r="E3" i="3"/>
  <c r="C15" i="4"/>
  <c r="C7" i="1"/>
  <c r="F3" i="3"/>
  <c r="C12" i="2"/>
  <c r="C10" i="4"/>
  <c r="F4" i="3"/>
  <c r="J7" i="1"/>
  <c r="C11" i="4"/>
  <c r="F5" i="3"/>
  <c r="F6" i="3"/>
  <c r="C14" i="2"/>
  <c r="C14" i="4"/>
  <c r="C9" i="4"/>
  <c r="J9" i="1"/>
  <c r="J6" i="1"/>
  <c r="C13" i="2"/>
  <c r="C9" i="1"/>
  <c r="F7" i="3"/>
  <c r="J8" i="1"/>
</calcChain>
</file>

<file path=xl/sharedStrings.xml><?xml version="1.0" encoding="utf-8"?>
<sst xmlns="http://schemas.openxmlformats.org/spreadsheetml/2006/main" count="40" uniqueCount="34">
  <si>
    <t>A project cost $100 today and pays $50 for the next three years. The cost of capital is 10%. What is the…</t>
  </si>
  <si>
    <t>Payback Period</t>
  </si>
  <si>
    <t>NPV</t>
  </si>
  <si>
    <t>t</t>
  </si>
  <si>
    <t>CF</t>
  </si>
  <si>
    <t>Payback Tracker</t>
  </si>
  <si>
    <t>IRR</t>
  </si>
  <si>
    <t>You want to invest in a project that sells a new soda beverage. You plan to finance the project with 33% debt. The risk-free rate is 1% and your default spread is 5%. The market risk premium is 6% and your equity beta is 2. Your corporate tax rate is 30%. What is your WACC for the beverage project?</t>
  </si>
  <si>
    <t>Cost of Debt</t>
  </si>
  <si>
    <t>Rf</t>
  </si>
  <si>
    <t>Default Spread</t>
  </si>
  <si>
    <t>beta</t>
  </si>
  <si>
    <t>Market RP</t>
  </si>
  <si>
    <t>Cost of Equity</t>
  </si>
  <si>
    <t>Tax Rate</t>
  </si>
  <si>
    <t>Debt Weight</t>
  </si>
  <si>
    <t>WACC</t>
  </si>
  <si>
    <t>Project Cost</t>
  </si>
  <si>
    <t>Project Return</t>
  </si>
  <si>
    <t>Gains from Equity</t>
  </si>
  <si>
    <t>Gains from Debt</t>
  </si>
  <si>
    <t>Repay Debt</t>
  </si>
  <si>
    <t>Debt (Borrow)</t>
  </si>
  <si>
    <t>Total</t>
  </si>
  <si>
    <t>Equity</t>
  </si>
  <si>
    <t>Return of Equity</t>
  </si>
  <si>
    <t>Asset beta</t>
  </si>
  <si>
    <t>Equity beta</t>
  </si>
  <si>
    <t>Risk-free rate</t>
  </si>
  <si>
    <t>Old D/E</t>
  </si>
  <si>
    <t>New D/E</t>
  </si>
  <si>
    <t>Market Risk Premium</t>
  </si>
  <si>
    <t>Old Equity beta</t>
  </si>
  <si>
    <t>Equity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</si>
</sst>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44" fontId="0" fillId="2" borderId="0" xfId="1" applyFont="1" applyFill="1"/>
    <xf numFmtId="9" fontId="0" fillId="2" borderId="0" xfId="0" applyNumberForma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/>
    </xf>
    <xf numFmtId="9" fontId="0" fillId="0" borderId="0" xfId="0" applyNumberFormat="1"/>
    <xf numFmtId="9" fontId="0" fillId="2" borderId="0" xfId="2" applyFont="1" applyFill="1"/>
    <xf numFmtId="164" fontId="0" fillId="0" borderId="0" xfId="1" applyNumberFormat="1" applyFont="1"/>
    <xf numFmtId="9" fontId="0" fillId="0" borderId="0" xfId="2" applyFont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2" fontId="0" fillId="0" borderId="0" xfId="0" applyNumberFormat="1"/>
    <xf numFmtId="2" fontId="0" fillId="2" borderId="0" xfId="0" applyNumberFormat="1" applyFill="1"/>
    <xf numFmtId="10" fontId="0" fillId="0" borderId="0" xfId="2" applyNumberFormat="1" applyFont="1" applyFill="1"/>
    <xf numFmtId="0" fontId="0" fillId="0" borderId="0" xfId="0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12</xdr:col>
      <xdr:colOff>342900</xdr:colOff>
      <xdr:row>16</xdr:row>
      <xdr:rowOff>28575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B0AAC4F-1CA3-C356-FF7E-11C3A25B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07720" y="178595"/>
          <a:ext cx="4843463" cy="27074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12</xdr:col>
      <xdr:colOff>376237</xdr:colOff>
      <xdr:row>32</xdr:row>
      <xdr:rowOff>64295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A0ED78F-A3A4-6019-5C58-B33CB7418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07720" y="3036095"/>
          <a:ext cx="487680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5" sqref="A5"/>
    </sheetView>
  </sheetViews>
  <sheetFormatPr defaultRowHeight="14.25" x14ac:dyDescent="0.45"/>
  <cols>
    <col min="1" max="1" width="14.33203125" customWidth="1"/>
    <col min="2" max="2" width="20" bestFit="1" customWidth="1"/>
    <col min="7" max="8" width="12.59765625" style="4" customWidth="1"/>
    <col min="9" max="9" width="14.53125" style="4" bestFit="1" customWidth="1"/>
    <col min="10" max="10" width="6.59765625" bestFit="1" customWidth="1"/>
  </cols>
  <sheetData>
    <row r="1" spans="1:10" x14ac:dyDescent="0.45">
      <c r="A1" s="19" t="s">
        <v>0</v>
      </c>
      <c r="B1" s="19"/>
      <c r="C1" s="19"/>
      <c r="D1" s="19"/>
      <c r="E1" s="19"/>
      <c r="F1" s="19"/>
    </row>
    <row r="2" spans="1:10" x14ac:dyDescent="0.45">
      <c r="A2" s="19"/>
      <c r="B2" s="19"/>
      <c r="C2" s="19"/>
      <c r="D2" s="19"/>
      <c r="E2" s="19"/>
      <c r="F2" s="19"/>
    </row>
    <row r="5" spans="1:10" ht="14.65" thickBot="1" x14ac:dyDescent="0.5">
      <c r="A5" t="s">
        <v>1</v>
      </c>
      <c r="B5" s="1"/>
      <c r="G5" s="5" t="s">
        <v>3</v>
      </c>
      <c r="H5" s="5" t="s">
        <v>4</v>
      </c>
      <c r="I5" s="5" t="s">
        <v>5</v>
      </c>
    </row>
    <row r="6" spans="1:10" x14ac:dyDescent="0.45">
      <c r="G6" s="4">
        <v>0</v>
      </c>
      <c r="H6" s="6">
        <v>-100</v>
      </c>
      <c r="I6" s="7"/>
      <c r="J6" t="e">
        <f ca="1">_xlfn.FORMULATEXT(I6)</f>
        <v>#N/A</v>
      </c>
    </row>
    <row r="7" spans="1:10" x14ac:dyDescent="0.45">
      <c r="A7" t="s">
        <v>2</v>
      </c>
      <c r="B7" s="2"/>
      <c r="C7" t="e">
        <f ca="1">_xlfn.FORMULATEXT(B7)</f>
        <v>#N/A</v>
      </c>
      <c r="G7" s="4">
        <v>1</v>
      </c>
      <c r="H7" s="6">
        <v>50</v>
      </c>
      <c r="I7" s="7"/>
      <c r="J7" t="e">
        <f t="shared" ref="J7:J9" ca="1" si="0">_xlfn.FORMULATEXT(I7)</f>
        <v>#N/A</v>
      </c>
    </row>
    <row r="8" spans="1:10" x14ac:dyDescent="0.45">
      <c r="G8" s="4">
        <v>2</v>
      </c>
      <c r="H8" s="6">
        <v>50</v>
      </c>
      <c r="I8" s="8"/>
      <c r="J8" t="e">
        <f t="shared" ca="1" si="0"/>
        <v>#N/A</v>
      </c>
    </row>
    <row r="9" spans="1:10" x14ac:dyDescent="0.45">
      <c r="A9" t="s">
        <v>6</v>
      </c>
      <c r="B9" s="3"/>
      <c r="C9" t="e">
        <f ca="1">_xlfn.FORMULATEXT(B9)</f>
        <v>#N/A</v>
      </c>
      <c r="G9" s="4">
        <v>3</v>
      </c>
      <c r="H9" s="6">
        <v>50</v>
      </c>
      <c r="I9" s="7"/>
      <c r="J9" t="e">
        <f t="shared" ca="1" si="0"/>
        <v>#N/A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8914-E552-4320-99AA-BBFC48E15540}">
  <dimension ref="A1:F14"/>
  <sheetViews>
    <sheetView workbookViewId="0">
      <selection activeCell="B12" sqref="B12"/>
    </sheetView>
  </sheetViews>
  <sheetFormatPr defaultRowHeight="14.25" x14ac:dyDescent="0.45"/>
  <cols>
    <col min="1" max="1" width="13.265625" bestFit="1" customWidth="1"/>
    <col min="2" max="2" width="9.796875" bestFit="1" customWidth="1"/>
  </cols>
  <sheetData>
    <row r="1" spans="1:6" x14ac:dyDescent="0.45">
      <c r="A1" s="19" t="s">
        <v>7</v>
      </c>
      <c r="B1" s="19"/>
      <c r="C1" s="19"/>
      <c r="D1" s="19"/>
      <c r="E1" s="19"/>
      <c r="F1" s="19"/>
    </row>
    <row r="2" spans="1:6" x14ac:dyDescent="0.45">
      <c r="A2" s="19"/>
      <c r="B2" s="19"/>
      <c r="C2" s="19"/>
      <c r="D2" s="19"/>
      <c r="E2" s="19"/>
      <c r="F2" s="19"/>
    </row>
    <row r="4" spans="1:6" x14ac:dyDescent="0.45">
      <c r="A4" t="s">
        <v>9</v>
      </c>
      <c r="B4" s="9">
        <v>0.01</v>
      </c>
    </row>
    <row r="5" spans="1:6" x14ac:dyDescent="0.45">
      <c r="A5" t="s">
        <v>10</v>
      </c>
      <c r="B5" s="9">
        <v>0.05</v>
      </c>
    </row>
    <row r="6" spans="1:6" x14ac:dyDescent="0.45">
      <c r="A6" t="s">
        <v>11</v>
      </c>
      <c r="B6">
        <v>2</v>
      </c>
    </row>
    <row r="7" spans="1:6" x14ac:dyDescent="0.45">
      <c r="A7" t="s">
        <v>12</v>
      </c>
      <c r="B7" s="9">
        <v>0.06</v>
      </c>
    </row>
    <row r="8" spans="1:6" x14ac:dyDescent="0.45">
      <c r="A8" t="s">
        <v>14</v>
      </c>
      <c r="B8" s="9">
        <v>0.3</v>
      </c>
    </row>
    <row r="9" spans="1:6" x14ac:dyDescent="0.45">
      <c r="A9" t="s">
        <v>15</v>
      </c>
      <c r="B9" s="9">
        <v>0.33</v>
      </c>
    </row>
    <row r="12" spans="1:6" x14ac:dyDescent="0.45">
      <c r="A12" t="s">
        <v>8</v>
      </c>
      <c r="B12" s="10"/>
      <c r="C12" t="e">
        <f ca="1">_xlfn.FORMULATEXT(B12)</f>
        <v>#N/A</v>
      </c>
    </row>
    <row r="13" spans="1:6" x14ac:dyDescent="0.45">
      <c r="A13" t="s">
        <v>13</v>
      </c>
      <c r="B13" s="10"/>
      <c r="C13" t="e">
        <f ca="1">_xlfn.FORMULATEXT(B13)</f>
        <v>#N/A</v>
      </c>
    </row>
    <row r="14" spans="1:6" x14ac:dyDescent="0.45">
      <c r="A14" t="s">
        <v>16</v>
      </c>
      <c r="B14" s="10"/>
      <c r="C14" t="e">
        <f ca="1">_xlfn.FORMULATEXT(B14)</f>
        <v>#N/A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BFCE-9371-4189-8032-A3EC2B00017E}">
  <dimension ref="A1:F7"/>
  <sheetViews>
    <sheetView workbookViewId="0"/>
  </sheetViews>
  <sheetFormatPr defaultRowHeight="14.25" x14ac:dyDescent="0.45"/>
  <cols>
    <col min="1" max="1" width="12.73046875" bestFit="1" customWidth="1"/>
    <col min="2" max="2" width="4.796875" bestFit="1" customWidth="1"/>
    <col min="4" max="4" width="15.73046875" bestFit="1" customWidth="1"/>
    <col min="5" max="5" width="9.53125" bestFit="1" customWidth="1"/>
    <col min="6" max="6" width="11.53125" bestFit="1" customWidth="1"/>
  </cols>
  <sheetData>
    <row r="1" spans="1:6" x14ac:dyDescent="0.45">
      <c r="A1" t="s">
        <v>17</v>
      </c>
      <c r="B1" s="11">
        <v>100</v>
      </c>
    </row>
    <row r="2" spans="1:6" x14ac:dyDescent="0.45">
      <c r="A2" t="s">
        <v>18</v>
      </c>
      <c r="B2" s="10">
        <v>0.1</v>
      </c>
    </row>
    <row r="3" spans="1:6" x14ac:dyDescent="0.45">
      <c r="B3" s="12"/>
      <c r="D3" t="s">
        <v>19</v>
      </c>
      <c r="E3" s="13">
        <f>B7*B2</f>
        <v>5</v>
      </c>
      <c r="F3" t="str">
        <f ca="1">_xlfn.FORMULATEXT(E3)</f>
        <v>=B7*B2</v>
      </c>
    </row>
    <row r="4" spans="1:6" x14ac:dyDescent="0.45">
      <c r="D4" t="s">
        <v>20</v>
      </c>
      <c r="E4" s="13">
        <f>B6*B2</f>
        <v>5</v>
      </c>
      <c r="F4" t="str">
        <f t="shared" ref="F4:F7" ca="1" si="0">_xlfn.FORMULATEXT(E4)</f>
        <v>=B6*B2</v>
      </c>
    </row>
    <row r="5" spans="1:6" ht="14.65" thickBot="1" x14ac:dyDescent="0.5">
      <c r="A5" t="s">
        <v>8</v>
      </c>
      <c r="B5" s="12">
        <v>0.05</v>
      </c>
      <c r="D5" s="14" t="s">
        <v>21</v>
      </c>
      <c r="E5" s="15">
        <f>-B6*B5</f>
        <v>-2.5</v>
      </c>
      <c r="F5" s="14" t="str">
        <f t="shared" ca="1" si="0"/>
        <v>=-B6*B5</v>
      </c>
    </row>
    <row r="6" spans="1:6" x14ac:dyDescent="0.45">
      <c r="A6" t="s">
        <v>22</v>
      </c>
      <c r="B6" s="11">
        <v>50</v>
      </c>
      <c r="D6" t="s">
        <v>23</v>
      </c>
      <c r="E6" s="13">
        <f>SUM(E3:E5)</f>
        <v>7.5</v>
      </c>
      <c r="F6" t="str">
        <f t="shared" ca="1" si="0"/>
        <v>=SUM(E3:E5)</v>
      </c>
    </row>
    <row r="7" spans="1:6" x14ac:dyDescent="0.45">
      <c r="A7" t="s">
        <v>24</v>
      </c>
      <c r="B7" s="11">
        <f>B1-B6</f>
        <v>50</v>
      </c>
      <c r="D7" t="s">
        <v>25</v>
      </c>
      <c r="E7" s="10">
        <f>E6/B7</f>
        <v>0.15</v>
      </c>
      <c r="F7" t="str">
        <f t="shared" ca="1" si="0"/>
        <v>=E6/B7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6C9C-4FAB-46A2-8331-DFF6E4267DB6}">
  <dimension ref="A2:C15"/>
  <sheetViews>
    <sheetView zoomScaleNormal="100" workbookViewId="0">
      <selection activeCell="B9" sqref="B9:B10"/>
    </sheetView>
  </sheetViews>
  <sheetFormatPr defaultRowHeight="14.25" x14ac:dyDescent="0.45"/>
  <cols>
    <col min="1" max="1" width="17.796875" bestFit="1" customWidth="1"/>
    <col min="2" max="2" width="19.73046875" bestFit="1" customWidth="1"/>
  </cols>
  <sheetData>
    <row r="2" spans="1:3" x14ac:dyDescent="0.45">
      <c r="A2" t="s">
        <v>29</v>
      </c>
      <c r="B2" s="16">
        <v>0.5</v>
      </c>
    </row>
    <row r="3" spans="1:3" x14ac:dyDescent="0.45">
      <c r="A3" t="s">
        <v>30</v>
      </c>
      <c r="B3" s="16">
        <v>0.33333333333333331</v>
      </c>
    </row>
    <row r="4" spans="1:3" x14ac:dyDescent="0.45">
      <c r="A4" t="s">
        <v>28</v>
      </c>
      <c r="B4" s="9">
        <v>0.01</v>
      </c>
    </row>
    <row r="5" spans="1:3" x14ac:dyDescent="0.45">
      <c r="A5" t="s">
        <v>31</v>
      </c>
      <c r="B5" s="9">
        <v>0.06</v>
      </c>
    </row>
    <row r="6" spans="1:3" x14ac:dyDescent="0.45">
      <c r="A6" t="s">
        <v>14</v>
      </c>
      <c r="B6" s="9">
        <v>0.3</v>
      </c>
    </row>
    <row r="8" spans="1:3" x14ac:dyDescent="0.45">
      <c r="A8" t="s">
        <v>32</v>
      </c>
      <c r="B8">
        <v>3</v>
      </c>
    </row>
    <row r="9" spans="1:3" x14ac:dyDescent="0.45">
      <c r="A9" t="s">
        <v>26</v>
      </c>
      <c r="B9" s="17"/>
      <c r="C9" t="e">
        <f ca="1">_xlfn.FORMULATEXT(B9)</f>
        <v>#N/A</v>
      </c>
    </row>
    <row r="10" spans="1:3" x14ac:dyDescent="0.45">
      <c r="A10" t="s">
        <v>27</v>
      </c>
      <c r="B10" s="17"/>
      <c r="C10" t="e">
        <f ca="1">_xlfn.FORMULATEXT(B10)</f>
        <v>#N/A</v>
      </c>
    </row>
    <row r="11" spans="1:3" x14ac:dyDescent="0.45">
      <c r="A11" t="s">
        <v>13</v>
      </c>
      <c r="B11" s="18">
        <f>B4+B10*B5</f>
        <v>0.01</v>
      </c>
      <c r="C11" t="str">
        <f ca="1">_xlfn.FORMULATEXT(B11)</f>
        <v>=B4+B10*B5</v>
      </c>
    </row>
    <row r="12" spans="1:3" x14ac:dyDescent="0.45">
      <c r="A12" t="s">
        <v>8</v>
      </c>
      <c r="B12" s="9">
        <v>0.03</v>
      </c>
    </row>
    <row r="13" spans="1:3" x14ac:dyDescent="0.45">
      <c r="A13" t="s">
        <v>15</v>
      </c>
      <c r="B13" s="9">
        <v>0.25</v>
      </c>
    </row>
    <row r="14" spans="1:3" x14ac:dyDescent="0.45">
      <c r="A14" t="s">
        <v>33</v>
      </c>
      <c r="B14" s="9">
        <f>1-B13</f>
        <v>0.75</v>
      </c>
      <c r="C14" t="str">
        <f ca="1">_xlfn.FORMULATEXT(B14)</f>
        <v>=1-B13</v>
      </c>
    </row>
    <row r="15" spans="1:3" x14ac:dyDescent="0.45">
      <c r="A15" t="s">
        <v>16</v>
      </c>
      <c r="B15" s="18">
        <f>B13*B12*(1-B6)+B14*B11</f>
        <v>1.2749999999999999E-2</v>
      </c>
      <c r="C15" t="str">
        <f ca="1">_xlfn.FORMULATEXT(B15)</f>
        <v>=B13*B12*(1-B6)+B14*B11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Investment Rules</vt:lpstr>
      <vt:lpstr>WACC</vt:lpstr>
      <vt:lpstr>Financial Leverage</vt:lpstr>
      <vt:lpstr>Changing Capital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2024-02-16T20:54:57Z</dcterms:modified>
</cp:coreProperties>
</file>